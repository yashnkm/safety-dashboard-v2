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
    </mc:Choice>
  </mc:AlternateContent>
  <xr:revisionPtr revIDLastSave="0" documentId="8_{66D0CC94-34DA-E94A-9EF1-79FCBD2BA80F}" xr6:coauthVersionLast="47" xr6:coauthVersionMax="47" xr10:uidLastSave="{00000000-0000-0000-0000-000000000000}"/>
  <bookViews>
    <workbookView xWindow="-108" yWindow="-108" windowWidth="23256" windowHeight="12576" firstSheet="2" activeTab="2" xr2:uid="{00000000-000D-0000-FFFF-FFFF00000000}"/>
  </bookViews>
  <sheets>
    <sheet name="Analysis" sheetId="5" state="hidden" r:id="rId1"/>
    <sheet name="Don't Edit" sheetId="3" state="hidden" r:id="rId2"/>
    <sheet name="Dashboard" sheetId="9" r:id="rId3"/>
    <sheet name="Instruction" sheetId="10" r:id="rId4"/>
    <sheet name="Data" sheetId="4" r:id="rId5"/>
    <sheet name="Meter" sheetId="8" state="hidden" r:id="rId6"/>
  </sheets>
  <definedNames>
    <definedName name="Slicer_Month">#N/A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 l="1"/>
  <c r="W4" i="4"/>
  <c r="W5" i="4"/>
  <c r="W6" i="4"/>
  <c r="W7" i="4"/>
  <c r="W8" i="4"/>
  <c r="W9" i="4"/>
  <c r="W10" i="4"/>
  <c r="W11" i="4"/>
  <c r="W12" i="4"/>
  <c r="W13" i="4"/>
  <c r="W14" i="4"/>
  <c r="U4" i="4"/>
  <c r="U5" i="4"/>
  <c r="U6" i="4"/>
  <c r="U7" i="4"/>
  <c r="U8" i="4"/>
  <c r="U9" i="4"/>
  <c r="U10" i="4"/>
  <c r="U11" i="4"/>
  <c r="U12" i="4"/>
  <c r="U13" i="4"/>
  <c r="U14" i="4"/>
  <c r="U3" i="4"/>
  <c r="S4" i="4"/>
  <c r="S5" i="4"/>
  <c r="S6" i="4"/>
  <c r="S7" i="4"/>
  <c r="S8" i="4"/>
  <c r="S9" i="4"/>
  <c r="S10" i="4"/>
  <c r="S11" i="4"/>
  <c r="S12" i="4"/>
  <c r="S13" i="4"/>
  <c r="S14" i="4"/>
  <c r="S3" i="4"/>
  <c r="Q4" i="4"/>
  <c r="Q5" i="4"/>
  <c r="Q6" i="4"/>
  <c r="Q7" i="4"/>
  <c r="Q8" i="4"/>
  <c r="Q9" i="4"/>
  <c r="Q10" i="4"/>
  <c r="Q11" i="4"/>
  <c r="Q12" i="4"/>
  <c r="Q13" i="4"/>
  <c r="Q14" i="4"/>
  <c r="Q3" i="4"/>
  <c r="O4" i="4"/>
  <c r="O5" i="4"/>
  <c r="O6" i="4"/>
  <c r="O7" i="4"/>
  <c r="O8" i="4"/>
  <c r="O9" i="4"/>
  <c r="O10" i="4"/>
  <c r="O11" i="4"/>
  <c r="O12" i="4"/>
  <c r="O13" i="4"/>
  <c r="O14" i="4"/>
  <c r="O3" i="4"/>
  <c r="M14" i="4"/>
  <c r="M13" i="4"/>
  <c r="M12" i="4"/>
  <c r="M11" i="4"/>
  <c r="M10" i="4"/>
  <c r="M9" i="4"/>
  <c r="M8" i="4"/>
  <c r="M7" i="4"/>
  <c r="M6" i="4"/>
  <c r="M5" i="4"/>
  <c r="M4" i="4"/>
  <c r="M3" i="4"/>
  <c r="K4" i="4"/>
  <c r="K5" i="4"/>
  <c r="K6" i="4"/>
  <c r="K7" i="4"/>
  <c r="K8" i="4"/>
  <c r="K9" i="4"/>
  <c r="K10" i="4"/>
  <c r="K11" i="4"/>
  <c r="K12" i="4"/>
  <c r="K13" i="4"/>
  <c r="K14" i="4"/>
  <c r="K3" i="4"/>
  <c r="I14" i="4"/>
  <c r="I13" i="4"/>
  <c r="I12" i="4"/>
  <c r="I11" i="4"/>
  <c r="I10" i="4"/>
  <c r="I9" i="4"/>
  <c r="I8" i="4"/>
  <c r="I7" i="4"/>
  <c r="I6" i="4"/>
  <c r="I5" i="4"/>
  <c r="I4" i="4"/>
  <c r="I3" i="4"/>
  <c r="G14" i="4"/>
  <c r="G13" i="4"/>
  <c r="G12" i="4"/>
  <c r="G11" i="4"/>
  <c r="G10" i="4"/>
  <c r="G9" i="4"/>
  <c r="G8" i="4"/>
  <c r="G7" i="4"/>
  <c r="G6" i="4"/>
  <c r="G5" i="4"/>
  <c r="G4" i="4"/>
  <c r="G3" i="4"/>
  <c r="E14" i="4"/>
  <c r="E13" i="4"/>
  <c r="E12" i="4"/>
  <c r="E11" i="4"/>
  <c r="E10" i="4"/>
  <c r="E9" i="4"/>
  <c r="E8" i="4"/>
  <c r="E7" i="4"/>
  <c r="E6" i="4"/>
  <c r="E5" i="4"/>
  <c r="E4" i="4"/>
  <c r="E3" i="4"/>
  <c r="C4" i="4"/>
  <c r="C5" i="4"/>
  <c r="C6" i="4"/>
  <c r="C7" i="4"/>
  <c r="C8" i="4"/>
  <c r="C9" i="4"/>
  <c r="C10" i="4"/>
  <c r="C11" i="4"/>
  <c r="C12" i="4"/>
  <c r="C13" i="4"/>
  <c r="C14" i="4"/>
  <c r="C3" i="4"/>
  <c r="E7" i="8"/>
  <c r="H3" i="3"/>
  <c r="I3" i="3"/>
  <c r="H4" i="3"/>
  <c r="I4" i="3"/>
  <c r="H5" i="3"/>
  <c r="I5" i="3"/>
  <c r="H6" i="3"/>
  <c r="I6" i="3"/>
  <c r="H7" i="3"/>
  <c r="I7" i="3"/>
  <c r="H8" i="3"/>
  <c r="I8" i="3"/>
  <c r="H9" i="3"/>
  <c r="I9" i="3"/>
  <c r="H10" i="3"/>
  <c r="I10" i="3"/>
  <c r="H11" i="3"/>
  <c r="I11" i="3"/>
  <c r="H12" i="3"/>
  <c r="I12" i="3"/>
  <c r="H13" i="3"/>
  <c r="I13" i="3"/>
  <c r="I2" i="3"/>
  <c r="H2" i="3"/>
  <c r="B15" i="5"/>
  <c r="D3" i="3"/>
  <c r="E3" i="3"/>
  <c r="D4" i="3"/>
  <c r="E4" i="3"/>
  <c r="D5" i="3"/>
  <c r="E5" i="3"/>
  <c r="D6" i="3"/>
  <c r="E6" i="3"/>
  <c r="D7" i="3"/>
  <c r="E7" i="3"/>
  <c r="D8" i="3"/>
  <c r="E8" i="3"/>
  <c r="D9" i="3"/>
  <c r="E9" i="3"/>
  <c r="D10" i="3"/>
  <c r="E10" i="3"/>
  <c r="D11" i="3"/>
  <c r="E11" i="3"/>
  <c r="D12" i="3"/>
  <c r="E12" i="3"/>
  <c r="D13" i="3"/>
  <c r="E13" i="3"/>
  <c r="E2" i="3"/>
  <c r="D2" i="3"/>
  <c r="C3" i="3"/>
  <c r="C4" i="3"/>
  <c r="C5" i="3"/>
  <c r="C6" i="3"/>
  <c r="C7" i="3"/>
  <c r="C8" i="3"/>
  <c r="C9" i="3"/>
  <c r="C10" i="3"/>
  <c r="C11" i="3"/>
  <c r="C12" i="3"/>
  <c r="C13" i="3"/>
  <c r="C2" i="3"/>
  <c r="B3" i="3"/>
  <c r="B4" i="3"/>
  <c r="B5" i="3"/>
  <c r="B6" i="3"/>
  <c r="B7" i="3"/>
  <c r="B8" i="3"/>
  <c r="B9" i="3"/>
  <c r="B10" i="3"/>
  <c r="B11" i="3"/>
  <c r="B12" i="3"/>
  <c r="B13" i="3"/>
  <c r="B2" i="3"/>
  <c r="G3" i="3"/>
  <c r="J3" i="3"/>
  <c r="K3" i="3"/>
  <c r="L3" i="3"/>
  <c r="G4" i="3"/>
  <c r="J4" i="3"/>
  <c r="K4" i="3"/>
  <c r="L4" i="3"/>
  <c r="G5" i="3"/>
  <c r="J5" i="3"/>
  <c r="K5" i="3"/>
  <c r="L5" i="3"/>
  <c r="G6" i="3"/>
  <c r="J6" i="3"/>
  <c r="K6" i="3"/>
  <c r="L6" i="3"/>
  <c r="G7" i="3"/>
  <c r="J7" i="3"/>
  <c r="K7" i="3"/>
  <c r="L7" i="3"/>
  <c r="G8" i="3"/>
  <c r="J8" i="3"/>
  <c r="K8" i="3"/>
  <c r="L8" i="3"/>
  <c r="G9" i="3"/>
  <c r="J9" i="3"/>
  <c r="K9" i="3"/>
  <c r="L9" i="3"/>
  <c r="G10" i="3"/>
  <c r="J10" i="3"/>
  <c r="K10" i="3"/>
  <c r="L10" i="3"/>
  <c r="G11" i="3"/>
  <c r="J11" i="3"/>
  <c r="K11" i="3"/>
  <c r="L11" i="3"/>
  <c r="G12" i="3"/>
  <c r="J12" i="3"/>
  <c r="K12" i="3"/>
  <c r="L12" i="3"/>
  <c r="G13" i="3"/>
  <c r="J13" i="3"/>
  <c r="K13" i="3"/>
  <c r="L13" i="3"/>
  <c r="L2" i="3"/>
  <c r="K2" i="3"/>
  <c r="J2" i="3"/>
  <c r="G2" i="3"/>
  <c r="F3" i="3"/>
  <c r="F4" i="3"/>
  <c r="F5" i="3"/>
  <c r="F6" i="3"/>
  <c r="F7" i="3"/>
  <c r="F8" i="3"/>
  <c r="F9" i="3"/>
  <c r="F10" i="3"/>
  <c r="F11" i="3"/>
  <c r="F12" i="3"/>
  <c r="F13" i="3"/>
  <c r="F2" i="3"/>
  <c r="B10" i="8"/>
  <c r="D10" i="8"/>
  <c r="L9" i="9"/>
  <c r="M6" i="3"/>
  <c r="M10" i="3"/>
  <c r="M2" i="3"/>
  <c r="M12" i="3"/>
  <c r="M8" i="3"/>
  <c r="M4" i="3"/>
  <c r="M11" i="3"/>
  <c r="M3" i="3"/>
  <c r="M13" i="3"/>
  <c r="M9" i="3"/>
  <c r="M5" i="3"/>
  <c r="M7" i="3"/>
</calcChain>
</file>

<file path=xl/sharedStrings.xml><?xml version="1.0" encoding="utf-8"?>
<sst xmlns="http://schemas.openxmlformats.org/spreadsheetml/2006/main" count="115" uniqueCount="56">
  <si>
    <t>Fatality</t>
  </si>
  <si>
    <t>LTI</t>
  </si>
  <si>
    <t>Inspection</t>
  </si>
  <si>
    <t>Mock Drill</t>
  </si>
  <si>
    <t>Walkthrough</t>
  </si>
  <si>
    <t>HSE Induction</t>
  </si>
  <si>
    <t>Work Permit</t>
  </si>
  <si>
    <t>January</t>
  </si>
  <si>
    <t>February</t>
  </si>
  <si>
    <t>March</t>
  </si>
  <si>
    <t>April</t>
  </si>
  <si>
    <t>May</t>
  </si>
  <si>
    <t>June</t>
  </si>
  <si>
    <t>July</t>
  </si>
  <si>
    <t>August</t>
  </si>
  <si>
    <t>September</t>
  </si>
  <si>
    <t>October</t>
  </si>
  <si>
    <t>November</t>
  </si>
  <si>
    <t>December</t>
  </si>
  <si>
    <t>HSE Committee Meeting</t>
  </si>
  <si>
    <t>Month</t>
  </si>
  <si>
    <t>Target</t>
  </si>
  <si>
    <t>Actual</t>
  </si>
  <si>
    <t>Penalty / Memo from Authority</t>
  </si>
  <si>
    <t>EHS Training</t>
  </si>
  <si>
    <t>Property Damage</t>
  </si>
  <si>
    <t>Values</t>
  </si>
  <si>
    <t>Environment, Health &amp; Safety Dashboard KPI Analysis Dashboard</t>
  </si>
  <si>
    <t>Score</t>
  </si>
  <si>
    <t>From</t>
  </si>
  <si>
    <t>To</t>
  </si>
  <si>
    <t>Rating</t>
  </si>
  <si>
    <t>Low</t>
  </si>
  <si>
    <t>Medium</t>
  </si>
  <si>
    <t>High</t>
  </si>
  <si>
    <t>Row Labels</t>
  </si>
  <si>
    <t>Grand Total</t>
  </si>
  <si>
    <t>Total</t>
  </si>
  <si>
    <t>Sum of Total</t>
  </si>
  <si>
    <t>KPI Target Score</t>
  </si>
  <si>
    <t>KPI Achieved Score</t>
  </si>
  <si>
    <t>Actual Value</t>
  </si>
  <si>
    <t>Data for Donut Chart</t>
  </si>
  <si>
    <t>Data for Pie Chart</t>
  </si>
  <si>
    <t xml:space="preserve">Fatality </t>
  </si>
  <si>
    <t xml:space="preserve"> LTI</t>
  </si>
  <si>
    <t xml:space="preserve"> Property Damage</t>
  </si>
  <si>
    <t xml:space="preserve"> Penalty / Memo from Authority</t>
  </si>
  <si>
    <t xml:space="preserve"> EHS Training</t>
  </si>
  <si>
    <t xml:space="preserve"> Inspection</t>
  </si>
  <si>
    <t xml:space="preserve"> Mock Drill</t>
  </si>
  <si>
    <t xml:space="preserve"> Walkthrough</t>
  </si>
  <si>
    <t xml:space="preserve">HSE Committee Meeting </t>
  </si>
  <si>
    <t xml:space="preserve"> HSE Induction</t>
  </si>
  <si>
    <t xml:space="preserve"> Work Permit</t>
  </si>
  <si>
    <r>
      <rPr>
        <b/>
        <i/>
        <u/>
        <sz val="11"/>
        <color theme="1"/>
        <rFont val="Calibri"/>
        <family val="2"/>
        <scheme val="minor"/>
      </rPr>
      <t>Instruction to use:</t>
    </r>
    <r>
      <rPr>
        <sz val="11"/>
        <color theme="1"/>
        <rFont val="Calibri"/>
        <family val="2"/>
        <scheme val="minor"/>
      </rPr>
      <t xml:space="preserve">
 1) Enter data only in Data sheet 
2) Once after entered, save and close the file. 
3) Re-open the file and data will be reflected in the Dashboard. 
4) Don't alter any details in the sheets (Analysis, Dashboard and Dropdown).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</si>
</sst>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0"/>
      <name val="Calibri"/>
      <family val="2"/>
      <scheme val="minor"/>
    </font>
    <font>
      <b/>
      <sz val="16"/>
      <color theme="1"/>
      <name val="Calibri"/>
      <family val="2"/>
      <scheme val="minor"/>
    </font>
    <font>
      <b/>
      <sz val="18"/>
      <color theme="1"/>
      <name val="Calibri"/>
      <family val="2"/>
      <scheme val="minor"/>
    </font>
    <font>
      <b/>
      <sz val="22"/>
      <color theme="1"/>
      <name val="Calibri"/>
      <family val="2"/>
      <scheme val="minor"/>
    </font>
    <font>
      <b/>
      <i/>
      <u/>
      <sz val="11"/>
      <color theme="1"/>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7"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92D050"/>
      </left>
      <right/>
      <top style="thin">
        <color rgb="FF92D050"/>
      </top>
      <bottom/>
      <diagonal/>
    </border>
    <border>
      <left/>
      <right/>
      <top style="thin">
        <color rgb="FF92D050"/>
      </top>
      <bottom/>
      <diagonal/>
    </border>
    <border>
      <left/>
      <right style="thin">
        <color rgb="FF92D050"/>
      </right>
      <top style="thin">
        <color rgb="FF92D050"/>
      </top>
      <bottom/>
      <diagonal/>
    </border>
    <border>
      <left style="thin">
        <color rgb="FF92D050"/>
      </left>
      <right/>
      <top/>
      <bottom/>
      <diagonal/>
    </border>
    <border>
      <left/>
      <right style="thin">
        <color rgb="FF92D050"/>
      </right>
      <top/>
      <bottom/>
      <diagonal/>
    </border>
    <border>
      <left style="thin">
        <color rgb="FF92D050"/>
      </left>
      <right/>
      <top/>
      <bottom style="thin">
        <color rgb="FF92D050"/>
      </bottom>
      <diagonal/>
    </border>
    <border>
      <left/>
      <right/>
      <top/>
      <bottom style="thin">
        <color rgb="FF92D050"/>
      </bottom>
      <diagonal/>
    </border>
    <border>
      <left/>
      <right style="thin">
        <color rgb="FF92D050"/>
      </right>
      <top/>
      <bottom style="thin">
        <color rgb="FF92D050"/>
      </bottom>
      <diagonal/>
    </border>
  </borders>
  <cellStyleXfs count="1">
    <xf numFmtId="0" fontId="0" fillId="0" borderId="0"/>
  </cellStyleXfs>
  <cellXfs count="63">
    <xf numFmtId="0" fontId="0" fillId="0" borderId="0" xfId="0"/>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center" vertical="center"/>
    </xf>
    <xf numFmtId="0" fontId="1" fillId="0" borderId="1" xfId="0" applyFont="1" applyBorder="1" applyAlignment="1">
      <alignment horizontal="center"/>
    </xf>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10" borderId="1" xfId="0" applyFill="1" applyBorder="1" applyAlignment="1">
      <alignment horizontal="center"/>
    </xf>
    <xf numFmtId="0" fontId="0" fillId="11" borderId="1" xfId="0" applyFill="1" applyBorder="1" applyAlignment="1">
      <alignment horizontal="center"/>
    </xf>
    <xf numFmtId="0" fontId="0" fillId="8" borderId="1" xfId="0" applyFill="1" applyBorder="1" applyAlignment="1">
      <alignment horizontal="center"/>
    </xf>
    <xf numFmtId="0" fontId="1" fillId="6" borderId="0" xfId="0" applyFont="1" applyFill="1" applyAlignment="1">
      <alignment horizontal="center"/>
    </xf>
    <xf numFmtId="0" fontId="2" fillId="7" borderId="0" xfId="0" applyFont="1" applyFill="1" applyAlignment="1">
      <alignment horizontal="center" vertical="center"/>
    </xf>
    <xf numFmtId="0" fontId="2" fillId="7" borderId="0" xfId="0" applyFont="1" applyFill="1" applyAlignment="1">
      <alignment horizontal="center"/>
    </xf>
    <xf numFmtId="0" fontId="1" fillId="3" borderId="0" xfId="0" applyFont="1" applyFill="1" applyAlignment="1">
      <alignment horizontal="center" vertical="center"/>
    </xf>
    <xf numFmtId="0" fontId="1" fillId="3" borderId="0" xfId="0" applyFont="1" applyFill="1" applyAlignment="1">
      <alignment horizontal="center"/>
    </xf>
    <xf numFmtId="0" fontId="2" fillId="8" borderId="0" xfId="0" applyFont="1" applyFill="1" applyAlignment="1">
      <alignment horizontal="center" vertical="center"/>
    </xf>
    <xf numFmtId="0" fontId="2" fillId="8" borderId="0" xfId="0" applyFont="1" applyFill="1" applyAlignment="1">
      <alignment horizontal="center"/>
    </xf>
    <xf numFmtId="0" fontId="0" fillId="12" borderId="0" xfId="0" applyFill="1"/>
    <xf numFmtId="0" fontId="3" fillId="12" borderId="0" xfId="0" applyFont="1" applyFill="1" applyAlignment="1">
      <alignment vertical="center"/>
    </xf>
    <xf numFmtId="0" fontId="1" fillId="12" borderId="0" xfId="0" applyFont="1" applyFill="1"/>
    <xf numFmtId="0" fontId="2" fillId="12" borderId="0" xfId="0" applyFont="1" applyFill="1" applyAlignment="1">
      <alignment vertical="center"/>
    </xf>
    <xf numFmtId="0" fontId="2" fillId="12" borderId="0" xfId="0" applyFont="1" applyFill="1"/>
    <xf numFmtId="0" fontId="1" fillId="12" borderId="0" xfId="0" applyFont="1" applyFill="1" applyAlignment="1">
      <alignment vertical="center"/>
    </xf>
    <xf numFmtId="0" fontId="1" fillId="12" borderId="0" xfId="0" applyFont="1" applyFill="1" applyAlignment="1">
      <alignment horizontal="center" vertical="center"/>
    </xf>
    <xf numFmtId="0" fontId="2" fillId="12" borderId="0" xfId="0" applyFont="1" applyFill="1" applyAlignment="1">
      <alignment horizontal="center" vertical="center"/>
    </xf>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0" fillId="9" borderId="0" xfId="0" applyFill="1"/>
    <xf numFmtId="0" fontId="0" fillId="9" borderId="11" xfId="0" applyFill="1" applyBorder="1"/>
    <xf numFmtId="0" fontId="3" fillId="9" borderId="10" xfId="0" applyFont="1" applyFill="1" applyBorder="1" applyAlignment="1">
      <alignment vertical="center"/>
    </xf>
    <xf numFmtId="0" fontId="3" fillId="9" borderId="0" xfId="0" applyFont="1" applyFill="1" applyAlignment="1">
      <alignment vertical="center"/>
    </xf>
    <xf numFmtId="0" fontId="3" fillId="9" borderId="12" xfId="0" applyFont="1" applyFill="1" applyBorder="1" applyAlignment="1">
      <alignment vertical="center"/>
    </xf>
    <xf numFmtId="0" fontId="3" fillId="9" borderId="13" xfId="0" applyFont="1" applyFill="1" applyBorder="1" applyAlignment="1">
      <alignment vertical="center"/>
    </xf>
    <xf numFmtId="0" fontId="0" fillId="9" borderId="14" xfId="0" applyFill="1" applyBorder="1"/>
    <xf numFmtId="0" fontId="0" fillId="0" borderId="0" xfId="0" applyNumberFormat="1"/>
    <xf numFmtId="0" fontId="4" fillId="4" borderId="0" xfId="0" applyFont="1" applyFill="1" applyAlignment="1">
      <alignment horizontal="center" vertical="center"/>
    </xf>
    <xf numFmtId="0" fontId="3" fillId="4" borderId="0" xfId="0" applyFont="1" applyFill="1" applyAlignment="1">
      <alignment horizontal="center" vertical="center"/>
    </xf>
    <xf numFmtId="0" fontId="5" fillId="9"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xf>
    <xf numFmtId="0" fontId="2" fillId="7" borderId="0" xfId="0" applyFont="1" applyFill="1" applyAlignment="1">
      <alignment horizontal="center" vertical="center"/>
    </xf>
    <xf numFmtId="0" fontId="1" fillId="3" borderId="0" xfId="0" applyFont="1" applyFill="1" applyAlignment="1">
      <alignment horizontal="center" vertical="center"/>
    </xf>
    <xf numFmtId="0" fontId="2" fillId="8" borderId="0" xfId="0" applyFont="1" applyFill="1" applyAlignment="1">
      <alignment horizontal="center" vertical="center"/>
    </xf>
    <xf numFmtId="0" fontId="0" fillId="3" borderId="0" xfId="0" applyFill="1" applyAlignment="1">
      <alignment horizontal="left" vertical="top" wrapText="1"/>
    </xf>
    <xf numFmtId="0" fontId="0" fillId="3" borderId="0" xfId="0" applyFill="1" applyAlignment="1">
      <alignment horizontal="lef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5" xfId="0" applyFont="1"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colors>
    <mruColors>
      <color rgb="FFED65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pivotCacheDefinition" Target="pivotCache/pivotCacheDefinition1.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microsoft.com/office/2007/relationships/slicerCache" Target="slicerCaches/slicerCach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3.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[Safety KPI Analysis Dashboard V.2.xlsx]Analysis!PivotTable5</c:name>
    <c:fmtId val="1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solidFill>
                  <a:schemeClr val="tx1"/>
                </a:solidFill>
              </a:rPr>
              <a:t>KPI Parameters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pivotFmt>
      <c:pivotFmt>
        <c:idx val="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pivotFmt>
      <c:pivotFmt>
        <c:idx val="2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pivotFmt>
      <c:pivotFmt>
        <c:idx val="2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pivotFmt>
      <c:pivotFmt>
        <c:idx val="2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Analysis!$B$3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E4DF-4289-BEBC-E66E2AA20113}"/>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E4DF-4289-BEBC-E66E2AA20113}"/>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E4DF-4289-BEBC-E66E2AA20113}"/>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E4DF-4289-BEBC-E66E2AA20113}"/>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E4DF-4289-BEBC-E66E2AA20113}"/>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E4DF-4289-BEBC-E66E2AA20113}"/>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E4DF-4289-BEBC-E66E2AA20113}"/>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E4DF-4289-BEBC-E66E2AA20113}"/>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E4DF-4289-BEBC-E66E2AA20113}"/>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E4DF-4289-BEBC-E66E2AA20113}"/>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E4DF-4289-BEBC-E66E2AA201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Analysis!$A$4:$A$14</c:f>
              <c:strCache>
                <c:ptCount val="11"/>
                <c:pt idx="0">
                  <c:v>Fatality </c:v>
                </c:pt>
                <c:pt idx="1">
                  <c:v> LTI</c:v>
                </c:pt>
                <c:pt idx="2">
                  <c:v> Property Damage</c:v>
                </c:pt>
                <c:pt idx="3">
                  <c:v> Penalty / Memo from Authority</c:v>
                </c:pt>
                <c:pt idx="4">
                  <c:v> EHS Training</c:v>
                </c:pt>
                <c:pt idx="5">
                  <c:v> Inspection</c:v>
                </c:pt>
                <c:pt idx="6">
                  <c:v> Mock Drill</c:v>
                </c:pt>
                <c:pt idx="7">
                  <c:v> Walkthrough</c:v>
                </c:pt>
                <c:pt idx="8">
                  <c:v>HSE Committee Meeting </c:v>
                </c:pt>
                <c:pt idx="9">
                  <c:v> HSE Induction</c:v>
                </c:pt>
                <c:pt idx="10">
                  <c:v> Work Permit</c:v>
                </c:pt>
              </c:strCache>
            </c:strRef>
          </c:cat>
          <c:val>
            <c:numRef>
              <c:f>Analysis!$B$4:$B$14</c:f>
              <c:numCache>
                <c:formatCode>General</c:formatCode>
                <c:ptCount val="11"/>
                <c:pt idx="0">
                  <c:v>0</c:v>
                </c:pt>
                <c:pt idx="1">
                  <c:v>0</c:v>
                </c:pt>
                <c:pt idx="2">
                  <c:v>0</c:v>
                </c:pt>
                <c:pt idx="3">
                  <c:v>0</c:v>
                </c:pt>
                <c:pt idx="4">
                  <c:v>10</c:v>
                </c:pt>
                <c:pt idx="5">
                  <c:v>9</c:v>
                </c:pt>
                <c:pt idx="6">
                  <c:v>5</c:v>
                </c:pt>
                <c:pt idx="7">
                  <c:v>2.5</c:v>
                </c:pt>
                <c:pt idx="8">
                  <c:v>0</c:v>
                </c:pt>
                <c:pt idx="9">
                  <c:v>5.6999999999999993</c:v>
                </c:pt>
                <c:pt idx="10">
                  <c:v>7.9</c:v>
                </c:pt>
              </c:numCache>
            </c:numRef>
          </c:val>
          <c:extLst>
            <c:ext xmlns:c16="http://schemas.microsoft.com/office/drawing/2014/chart" uri="{C3380CC4-5D6E-409C-BE32-E72D297353CC}">
              <c16:uniqueId val="{00000016-E4DF-4289-BEBC-E66E2AA20113}"/>
            </c:ext>
          </c:extLst>
        </c:ser>
        <c:dLbls>
          <c:showLegendKey val="0"/>
          <c:showVal val="1"/>
          <c:showCatName val="0"/>
          <c:showSerName val="0"/>
          <c:showPercent val="0"/>
          <c:showBubbleSize val="0"/>
        </c:dLbls>
        <c:gapWidth val="150"/>
        <c:shape val="box"/>
        <c:axId val="388577352"/>
        <c:axId val="388578432"/>
        <c:axId val="0"/>
      </c:bar3DChart>
      <c:catAx>
        <c:axId val="388577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8578432"/>
        <c:crosses val="autoZero"/>
        <c:auto val="1"/>
        <c:lblAlgn val="ctr"/>
        <c:lblOffset val="100"/>
        <c:noMultiLvlLbl val="0"/>
      </c:catAx>
      <c:valAx>
        <c:axId val="388578432"/>
        <c:scaling>
          <c:orientation val="minMax"/>
        </c:scaling>
        <c:delete val="1"/>
        <c:axPos val="l"/>
        <c:numFmt formatCode="General" sourceLinked="1"/>
        <c:majorTickMark val="none"/>
        <c:minorTickMark val="none"/>
        <c:tickLblPos val="nextTo"/>
        <c:crossAx val="38857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4">
            <a:lumMod val="40000"/>
            <a:lumOff val="6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[Safety KPI Analysis Dashboard V.2.xlsx]Analysis!PivotTable6</c:name>
    <c:fmtId val="1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200" b="1">
                <a:solidFill>
                  <a:schemeClr val="tx1"/>
                </a:solidFill>
              </a:rPr>
              <a:t>KPI Score (Month WIse)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1"/>
            </a:solidFill>
            <a:ln w="9525" cap="flat" cmpd="sng" algn="ctr">
              <a:solidFill>
                <a:schemeClr val="accent1"/>
              </a:solidFill>
              <a:round/>
            </a:ln>
            <a:effectLst/>
          </c:spPr>
        </c:marke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12"/>
          <c:spPr>
            <a:solidFill>
              <a:schemeClr val="accent2"/>
            </a:solidFill>
            <a:ln w="9525" cap="flat" cmpd="sng" algn="ctr">
              <a:solidFill>
                <a:schemeClr val="accent2"/>
              </a:solidFill>
              <a:round/>
            </a:ln>
            <a:effectLst/>
          </c:spPr>
        </c:marke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3"/>
            </a:solidFill>
            <a:round/>
          </a:ln>
          <a:effectLst/>
        </c:spPr>
        <c:marker>
          <c:symbol val="circle"/>
          <c:size val="12"/>
          <c:spPr>
            <a:solidFill>
              <a:schemeClr val="accent3"/>
            </a:solidFill>
            <a:ln w="9525" cap="flat" cmpd="sng" algn="ctr">
              <a:solidFill>
                <a:schemeClr val="accent3"/>
              </a:solidFill>
              <a:round/>
            </a:ln>
            <a:effectLst/>
          </c:spPr>
        </c:marke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4"/>
            </a:solidFill>
            <a:round/>
          </a:ln>
          <a:effectLst/>
        </c:spPr>
        <c:marker>
          <c:symbol val="circle"/>
          <c:size val="12"/>
          <c:spPr>
            <a:solidFill>
              <a:schemeClr val="accent4"/>
            </a:solidFill>
            <a:ln w="9525" cap="flat" cmpd="sng" algn="ctr">
              <a:solidFill>
                <a:schemeClr val="accent4"/>
              </a:solidFill>
              <a:round/>
            </a:ln>
            <a:effectLst/>
          </c:spPr>
        </c:marke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5"/>
            </a:solidFill>
            <a:round/>
          </a:ln>
          <a:effectLst/>
        </c:spPr>
        <c:marker>
          <c:symbol val="circle"/>
          <c:size val="12"/>
          <c:spPr>
            <a:solidFill>
              <a:schemeClr val="accent5"/>
            </a:solidFill>
            <a:ln w="9525" cap="flat" cmpd="sng" algn="ctr">
              <a:solidFill>
                <a:schemeClr val="accent5"/>
              </a:solidFill>
              <a:round/>
            </a:ln>
            <a:effectLst/>
          </c:spPr>
        </c:marke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6"/>
            </a:solidFill>
            <a:round/>
          </a:ln>
          <a:effectLst/>
        </c:spPr>
        <c:marker>
          <c:symbol val="circle"/>
          <c:size val="12"/>
          <c:spPr>
            <a:solidFill>
              <a:schemeClr val="accent6"/>
            </a:solidFill>
            <a:ln w="9525" cap="flat" cmpd="sng" algn="ctr">
              <a:solidFill>
                <a:schemeClr val="accent6"/>
              </a:solidFill>
              <a:round/>
            </a:ln>
            <a:effectLst/>
          </c:spPr>
        </c:marke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lumMod val="60000"/>
              </a:schemeClr>
            </a:solidFill>
            <a:round/>
          </a:ln>
          <a:effectLst/>
        </c:spPr>
        <c:marker>
          <c:symbol val="circle"/>
          <c:size val="12"/>
          <c:spPr>
            <a:solidFill>
              <a:schemeClr val="accent1">
                <a:lumMod val="60000"/>
              </a:schemeClr>
            </a:solidFill>
            <a:ln w="9525" cap="flat" cmpd="sng" algn="ctr">
              <a:solidFill>
                <a:schemeClr val="accent1">
                  <a:lumMod val="60000"/>
                </a:schemeClr>
              </a:solidFill>
              <a:round/>
            </a:ln>
            <a:effectLst/>
          </c:spPr>
        </c:marke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lumMod val="60000"/>
              </a:schemeClr>
            </a:solidFill>
            <a:round/>
          </a:ln>
          <a:effectLst/>
        </c:spPr>
        <c:marker>
          <c:symbol val="circle"/>
          <c:size val="12"/>
          <c:spPr>
            <a:solidFill>
              <a:schemeClr val="accent2">
                <a:lumMod val="60000"/>
              </a:schemeClr>
            </a:solidFill>
            <a:ln w="9525" cap="flat" cmpd="sng" algn="ctr">
              <a:solidFill>
                <a:schemeClr val="accent2">
                  <a:lumMod val="60000"/>
                </a:schemeClr>
              </a:solidFill>
              <a:round/>
            </a:ln>
            <a:effectLst/>
          </c:spPr>
        </c:marke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3">
                <a:lumMod val="60000"/>
              </a:schemeClr>
            </a:solidFill>
            <a:round/>
          </a:ln>
          <a:effectLst/>
        </c:spPr>
        <c:marker>
          <c:symbol val="circle"/>
          <c:size val="12"/>
          <c:spPr>
            <a:solidFill>
              <a:schemeClr val="accent3">
                <a:lumMod val="60000"/>
              </a:schemeClr>
            </a:solidFill>
            <a:ln w="9525" cap="flat" cmpd="sng" algn="ctr">
              <a:solidFill>
                <a:schemeClr val="accent3">
                  <a:lumMod val="60000"/>
                </a:schemeClr>
              </a:solidFill>
              <a:round/>
            </a:ln>
            <a:effectLst/>
          </c:spPr>
        </c:marke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4">
                <a:lumMod val="60000"/>
              </a:schemeClr>
            </a:solidFill>
            <a:round/>
          </a:ln>
          <a:effectLst/>
        </c:spPr>
        <c:marker>
          <c:symbol val="circle"/>
          <c:size val="12"/>
          <c:spPr>
            <a:solidFill>
              <a:schemeClr val="accent4">
                <a:lumMod val="60000"/>
              </a:schemeClr>
            </a:solidFill>
            <a:ln w="9525" cap="flat" cmpd="sng" algn="ctr">
              <a:solidFill>
                <a:schemeClr val="accent4">
                  <a:lumMod val="60000"/>
                </a:schemeClr>
              </a:solidFill>
              <a:round/>
            </a:ln>
            <a:effectLst/>
          </c:spPr>
        </c:marke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5">
                <a:lumMod val="60000"/>
              </a:schemeClr>
            </a:solidFill>
            <a:round/>
          </a:ln>
          <a:effectLst/>
        </c:spPr>
        <c:marker>
          <c:symbol val="circle"/>
          <c:size val="12"/>
          <c:spPr>
            <a:solidFill>
              <a:schemeClr val="accent5">
                <a:lumMod val="60000"/>
              </a:schemeClr>
            </a:solidFill>
            <a:ln w="9525" cap="flat" cmpd="sng" algn="ctr">
              <a:solidFill>
                <a:schemeClr val="accent5">
                  <a:lumMod val="60000"/>
                </a:schemeClr>
              </a:solidFill>
              <a:round/>
            </a:ln>
            <a:effectLst/>
          </c:spPr>
        </c:marker>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6">
                <a:lumMod val="60000"/>
              </a:schemeClr>
            </a:solidFill>
            <a:round/>
          </a:ln>
          <a:effectLst/>
        </c:spPr>
        <c:marker>
          <c:symbol val="circle"/>
          <c:size val="12"/>
          <c:spPr>
            <a:solidFill>
              <a:schemeClr val="accent6">
                <a:lumMod val="60000"/>
              </a:schemeClr>
            </a:solidFill>
            <a:ln w="9525" cap="flat" cmpd="sng" algn="ctr">
              <a:solidFill>
                <a:schemeClr val="accent6">
                  <a:lumMod val="60000"/>
                </a:schemeClr>
              </a:solidFill>
              <a:round/>
            </a:ln>
            <a:effectLst/>
          </c:spPr>
        </c:marke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1"/>
            </a:solidFill>
            <a:ln w="9525" cap="flat" cmpd="sng" algn="ctr">
              <a:solidFill>
                <a:schemeClr val="accent1"/>
              </a:solidFill>
              <a:round/>
            </a:ln>
            <a:effectLst/>
          </c:spPr>
        </c:marke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2"/>
            </a:solidFill>
            <a:ln w="9525" cap="flat" cmpd="sng" algn="ctr">
              <a:solidFill>
                <a:schemeClr val="accent2"/>
              </a:solidFill>
              <a:round/>
            </a:ln>
            <a:effectLst/>
          </c:spPr>
        </c:marke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3"/>
            </a:solidFill>
            <a:ln w="9525" cap="flat" cmpd="sng" algn="ctr">
              <a:solidFill>
                <a:schemeClr val="accent3"/>
              </a:solidFill>
              <a:round/>
            </a:ln>
            <a:effectLst/>
          </c:spPr>
        </c:marke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4"/>
            </a:solidFill>
            <a:ln w="9525" cap="flat" cmpd="sng" algn="ctr">
              <a:solidFill>
                <a:schemeClr val="accent4"/>
              </a:solidFill>
              <a:round/>
            </a:ln>
            <a:effectLst/>
          </c:spPr>
        </c:marker>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5"/>
            </a:solidFill>
            <a:ln w="9525" cap="flat" cmpd="sng" algn="ctr">
              <a:solidFill>
                <a:schemeClr val="accent5"/>
              </a:solidFill>
              <a:round/>
            </a:ln>
            <a:effectLst/>
          </c:spPr>
        </c:marke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6"/>
            </a:solidFill>
            <a:ln w="9525" cap="flat" cmpd="sng" algn="ctr">
              <a:solidFill>
                <a:schemeClr val="accent6"/>
              </a:solidFill>
              <a:round/>
            </a:ln>
            <a:effectLst/>
          </c:spPr>
        </c:marke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1">
                <a:lumMod val="60000"/>
              </a:schemeClr>
            </a:solidFill>
            <a:ln w="9525" cap="flat" cmpd="sng" algn="ctr">
              <a:solidFill>
                <a:schemeClr val="accent1">
                  <a:lumMod val="60000"/>
                </a:schemeClr>
              </a:solidFill>
              <a:round/>
            </a:ln>
            <a:effectLst/>
          </c:spPr>
        </c:marker>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2">
                <a:lumMod val="60000"/>
              </a:schemeClr>
            </a:solidFill>
            <a:ln w="9525" cap="flat" cmpd="sng" algn="ctr">
              <a:solidFill>
                <a:schemeClr val="accent2">
                  <a:lumMod val="60000"/>
                </a:schemeClr>
              </a:solidFill>
              <a:round/>
            </a:ln>
            <a:effectLst/>
          </c:spPr>
        </c:marke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3">
                <a:lumMod val="60000"/>
              </a:schemeClr>
            </a:solidFill>
            <a:ln w="9525" cap="flat" cmpd="sng" algn="ctr">
              <a:solidFill>
                <a:schemeClr val="accent3">
                  <a:lumMod val="60000"/>
                </a:schemeClr>
              </a:solidFill>
              <a:round/>
            </a:ln>
            <a:effectLst/>
          </c:spPr>
        </c:marker>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4">
                <a:lumMod val="60000"/>
              </a:schemeClr>
            </a:solidFill>
            <a:ln w="9525" cap="flat" cmpd="sng" algn="ctr">
              <a:solidFill>
                <a:schemeClr val="accent4">
                  <a:lumMod val="60000"/>
                </a:schemeClr>
              </a:solidFill>
              <a:round/>
            </a:ln>
            <a:effectLst/>
          </c:spPr>
        </c:marker>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5">
                <a:lumMod val="60000"/>
              </a:schemeClr>
            </a:solidFill>
            <a:ln w="9525" cap="flat" cmpd="sng" algn="ctr">
              <a:solidFill>
                <a:schemeClr val="accent5">
                  <a:lumMod val="60000"/>
                </a:schemeClr>
              </a:solidFill>
              <a:round/>
            </a:ln>
            <a:effectLst/>
          </c:spPr>
        </c:marker>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12"/>
          <c:spPr>
            <a:solidFill>
              <a:schemeClr val="accent6">
                <a:lumMod val="60000"/>
              </a:schemeClr>
            </a:solidFill>
            <a:ln w="9525" cap="flat" cmpd="sng" algn="ctr">
              <a:solidFill>
                <a:schemeClr val="accent6">
                  <a:lumMod val="60000"/>
                </a:schemeClr>
              </a:solidFill>
              <a:round/>
            </a:ln>
            <a:effectLst/>
          </c:spPr>
        </c:marker>
      </c:pivotFmt>
      <c:pivotFmt>
        <c:idx val="42"/>
        <c:marker>
          <c:symbol val="circle"/>
          <c:size val="12"/>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ln w="22225" cap="rnd" cmpd="sng" algn="ctr">
            <a:solidFill>
              <a:schemeClr val="accent1"/>
            </a:solidFill>
            <a:round/>
          </a:ln>
          <a:effectLst/>
        </c:spPr>
        <c:marker>
          <c:symbol val="circle"/>
          <c:size val="12"/>
          <c:spPr>
            <a:solidFill>
              <a:schemeClr val="accent1"/>
            </a:solidFill>
            <a:ln w="9525" cap="flat" cmpd="sng" algn="ctr">
              <a:solidFill>
                <a:schemeClr val="accent1"/>
              </a:solidFill>
              <a:round/>
            </a:ln>
            <a:effectLst/>
          </c:spPr>
        </c:marker>
      </c:pivotFmt>
      <c:pivotFmt>
        <c:idx val="44"/>
        <c:spPr>
          <a:ln w="22225" cap="rnd" cmpd="sng" algn="ctr">
            <a:solidFill>
              <a:schemeClr val="accent2"/>
            </a:solidFill>
            <a:round/>
          </a:ln>
          <a:effectLst/>
        </c:spPr>
        <c:marker>
          <c:symbol val="circle"/>
          <c:size val="12"/>
          <c:spPr>
            <a:solidFill>
              <a:schemeClr val="accent2"/>
            </a:solidFill>
            <a:ln w="9525" cap="flat" cmpd="sng" algn="ctr">
              <a:solidFill>
                <a:schemeClr val="accent2"/>
              </a:solidFill>
              <a:round/>
            </a:ln>
            <a:effectLst/>
          </c:spPr>
        </c:marker>
      </c:pivotFmt>
      <c:pivotFmt>
        <c:idx val="45"/>
        <c:spPr>
          <a:ln w="22225" cap="rnd" cmpd="sng" algn="ctr">
            <a:solidFill>
              <a:schemeClr val="accent3"/>
            </a:solidFill>
            <a:round/>
          </a:ln>
          <a:effectLst/>
        </c:spPr>
        <c:marker>
          <c:symbol val="circle"/>
          <c:size val="12"/>
          <c:spPr>
            <a:solidFill>
              <a:schemeClr val="accent3"/>
            </a:solidFill>
            <a:ln w="9525" cap="flat" cmpd="sng" algn="ctr">
              <a:solidFill>
                <a:schemeClr val="accent3"/>
              </a:solidFill>
              <a:round/>
            </a:ln>
            <a:effectLst/>
          </c:spPr>
        </c:marker>
      </c:pivotFmt>
      <c:pivotFmt>
        <c:idx val="46"/>
        <c:spPr>
          <a:ln w="22225" cap="rnd" cmpd="sng" algn="ctr">
            <a:solidFill>
              <a:schemeClr val="accent4"/>
            </a:solidFill>
            <a:round/>
          </a:ln>
          <a:effectLst/>
        </c:spPr>
        <c:marker>
          <c:symbol val="circle"/>
          <c:size val="12"/>
          <c:spPr>
            <a:solidFill>
              <a:schemeClr val="accent4"/>
            </a:solidFill>
            <a:ln w="9525" cap="flat" cmpd="sng" algn="ctr">
              <a:solidFill>
                <a:schemeClr val="accent4"/>
              </a:solidFill>
              <a:round/>
            </a:ln>
            <a:effectLst/>
          </c:spPr>
        </c:marker>
      </c:pivotFmt>
      <c:pivotFmt>
        <c:idx val="47"/>
        <c:spPr>
          <a:ln w="22225" cap="rnd" cmpd="sng" algn="ctr">
            <a:solidFill>
              <a:schemeClr val="accent5"/>
            </a:solidFill>
            <a:round/>
          </a:ln>
          <a:effectLst/>
        </c:spPr>
        <c:marker>
          <c:symbol val="circle"/>
          <c:size val="12"/>
          <c:spPr>
            <a:solidFill>
              <a:schemeClr val="accent5"/>
            </a:solidFill>
            <a:ln w="9525" cap="flat" cmpd="sng" algn="ctr">
              <a:solidFill>
                <a:schemeClr val="accent5"/>
              </a:solidFill>
              <a:round/>
            </a:ln>
            <a:effectLst/>
          </c:spPr>
        </c:marker>
      </c:pivotFmt>
      <c:pivotFmt>
        <c:idx val="48"/>
        <c:spPr>
          <a:ln w="22225" cap="rnd" cmpd="sng" algn="ctr">
            <a:solidFill>
              <a:schemeClr val="accent6"/>
            </a:solidFill>
            <a:round/>
          </a:ln>
          <a:effectLst/>
        </c:spPr>
        <c:marker>
          <c:symbol val="circle"/>
          <c:size val="12"/>
          <c:spPr>
            <a:solidFill>
              <a:schemeClr val="accent6"/>
            </a:solidFill>
            <a:ln w="9525" cap="flat" cmpd="sng" algn="ctr">
              <a:solidFill>
                <a:schemeClr val="accent6"/>
              </a:solidFill>
              <a:round/>
            </a:ln>
            <a:effectLst/>
          </c:spPr>
        </c:marker>
      </c:pivotFmt>
      <c:pivotFmt>
        <c:idx val="49"/>
        <c:spPr>
          <a:ln w="22225" cap="rnd" cmpd="sng" algn="ctr">
            <a:solidFill>
              <a:schemeClr val="accent1">
                <a:lumMod val="60000"/>
              </a:schemeClr>
            </a:solidFill>
            <a:round/>
          </a:ln>
          <a:effectLst/>
        </c:spPr>
        <c:marker>
          <c:symbol val="circle"/>
          <c:size val="12"/>
          <c:spPr>
            <a:solidFill>
              <a:schemeClr val="accent1">
                <a:lumMod val="60000"/>
              </a:schemeClr>
            </a:solidFill>
            <a:ln w="9525" cap="flat" cmpd="sng" algn="ctr">
              <a:solidFill>
                <a:schemeClr val="accent1">
                  <a:lumMod val="60000"/>
                </a:schemeClr>
              </a:solidFill>
              <a:round/>
            </a:ln>
            <a:effectLst/>
          </c:spPr>
        </c:marker>
      </c:pivotFmt>
      <c:pivotFmt>
        <c:idx val="50"/>
        <c:spPr>
          <a:ln w="22225" cap="rnd" cmpd="sng" algn="ctr">
            <a:solidFill>
              <a:schemeClr val="accent2">
                <a:lumMod val="60000"/>
              </a:schemeClr>
            </a:solidFill>
            <a:round/>
          </a:ln>
          <a:effectLst/>
        </c:spPr>
        <c:marker>
          <c:symbol val="circle"/>
          <c:size val="12"/>
          <c:spPr>
            <a:solidFill>
              <a:schemeClr val="accent2">
                <a:lumMod val="60000"/>
              </a:schemeClr>
            </a:solidFill>
            <a:ln w="9525" cap="flat" cmpd="sng" algn="ctr">
              <a:solidFill>
                <a:schemeClr val="accent2">
                  <a:lumMod val="60000"/>
                </a:schemeClr>
              </a:solidFill>
              <a:round/>
            </a:ln>
            <a:effectLst/>
          </c:spPr>
        </c:marker>
      </c:pivotFmt>
      <c:pivotFmt>
        <c:idx val="51"/>
        <c:spPr>
          <a:ln w="22225" cap="rnd" cmpd="sng" algn="ctr">
            <a:solidFill>
              <a:schemeClr val="accent3">
                <a:lumMod val="60000"/>
              </a:schemeClr>
            </a:solidFill>
            <a:round/>
          </a:ln>
          <a:effectLst/>
        </c:spPr>
        <c:marker>
          <c:symbol val="circle"/>
          <c:size val="12"/>
          <c:spPr>
            <a:solidFill>
              <a:schemeClr val="accent3">
                <a:lumMod val="60000"/>
              </a:schemeClr>
            </a:solidFill>
            <a:ln w="9525" cap="flat" cmpd="sng" algn="ctr">
              <a:solidFill>
                <a:schemeClr val="accent3">
                  <a:lumMod val="60000"/>
                </a:schemeClr>
              </a:solidFill>
              <a:round/>
            </a:ln>
            <a:effectLst/>
          </c:spPr>
        </c:marker>
      </c:pivotFmt>
      <c:pivotFmt>
        <c:idx val="52"/>
        <c:spPr>
          <a:ln w="22225" cap="rnd" cmpd="sng" algn="ctr">
            <a:solidFill>
              <a:schemeClr val="accent4">
                <a:lumMod val="60000"/>
              </a:schemeClr>
            </a:solidFill>
            <a:round/>
          </a:ln>
          <a:effectLst/>
        </c:spPr>
        <c:marker>
          <c:symbol val="circle"/>
          <c:size val="12"/>
          <c:spPr>
            <a:solidFill>
              <a:schemeClr val="accent4">
                <a:lumMod val="60000"/>
              </a:schemeClr>
            </a:solidFill>
            <a:ln w="9525" cap="flat" cmpd="sng" algn="ctr">
              <a:solidFill>
                <a:schemeClr val="accent4">
                  <a:lumMod val="60000"/>
                </a:schemeClr>
              </a:solidFill>
              <a:round/>
            </a:ln>
            <a:effectLst/>
          </c:spPr>
        </c:marker>
      </c:pivotFmt>
      <c:pivotFmt>
        <c:idx val="53"/>
        <c:spPr>
          <a:ln w="22225" cap="rnd" cmpd="sng" algn="ctr">
            <a:solidFill>
              <a:schemeClr val="accent5">
                <a:lumMod val="60000"/>
              </a:schemeClr>
            </a:solidFill>
            <a:round/>
          </a:ln>
          <a:effectLst/>
        </c:spPr>
        <c:marker>
          <c:symbol val="circle"/>
          <c:size val="12"/>
          <c:spPr>
            <a:solidFill>
              <a:schemeClr val="accent5">
                <a:lumMod val="60000"/>
              </a:schemeClr>
            </a:solidFill>
            <a:ln w="9525" cap="flat" cmpd="sng" algn="ctr">
              <a:solidFill>
                <a:schemeClr val="accent5">
                  <a:lumMod val="60000"/>
                </a:schemeClr>
              </a:solidFill>
              <a:round/>
            </a:ln>
            <a:effectLst/>
          </c:spPr>
        </c:marker>
      </c:pivotFmt>
      <c:pivotFmt>
        <c:idx val="54"/>
        <c:spPr>
          <a:ln w="22225" cap="rnd" cmpd="sng" algn="ctr">
            <a:solidFill>
              <a:schemeClr val="accent6">
                <a:lumMod val="60000"/>
              </a:schemeClr>
            </a:solidFill>
            <a:round/>
          </a:ln>
          <a:effectLst/>
        </c:spPr>
        <c:marker>
          <c:symbol val="circle"/>
          <c:size val="12"/>
          <c:spPr>
            <a:solidFill>
              <a:schemeClr val="accent6">
                <a:lumMod val="60000"/>
              </a:schemeClr>
            </a:solidFill>
            <a:ln w="9525" cap="flat" cmpd="sng" algn="ctr">
              <a:solidFill>
                <a:schemeClr val="accent6">
                  <a:lumMod val="60000"/>
                </a:schemeClr>
              </a:solidFill>
              <a:round/>
            </a:ln>
            <a:effectLst/>
          </c:spPr>
        </c:marker>
      </c:pivotFmt>
    </c:pivotFmts>
    <c:plotArea>
      <c:layout/>
      <c:lineChart>
        <c:grouping val="standard"/>
        <c:varyColors val="1"/>
        <c:ser>
          <c:idx val="0"/>
          <c:order val="0"/>
          <c:tx>
            <c:strRef>
              <c:f>Analysis!$G$3</c:f>
              <c:strCache>
                <c:ptCount val="1"/>
                <c:pt idx="0">
                  <c:v>Total</c:v>
                </c:pt>
              </c:strCache>
            </c:strRef>
          </c:tx>
          <c:marker>
            <c:symbol val="circle"/>
            <c:size val="12"/>
          </c:marker>
          <c:dPt>
            <c:idx val="0"/>
            <c:marker>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1-C2BC-45C4-AD4A-7F67A2F8B6E0}"/>
              </c:ext>
            </c:extLst>
          </c:dPt>
          <c:dPt>
            <c:idx val="1"/>
            <c:marker>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03-C2BC-45C4-AD4A-7F67A2F8B6E0}"/>
              </c:ext>
            </c:extLst>
          </c:dPt>
          <c:dPt>
            <c:idx val="2"/>
            <c:marker>
              <c:spPr>
                <a:solidFill>
                  <a:schemeClr val="accent3"/>
                </a:solidFill>
                <a:ln w="9525" cap="flat" cmpd="sng" algn="ctr">
                  <a:solidFill>
                    <a:schemeClr val="accent3"/>
                  </a:solidFill>
                  <a:round/>
                </a:ln>
                <a:effectLst/>
              </c:spPr>
            </c:marker>
            <c:bubble3D val="0"/>
            <c:spPr>
              <a:ln w="22225" cap="rnd" cmpd="sng" algn="ctr">
                <a:solidFill>
                  <a:schemeClr val="accent3"/>
                </a:solidFill>
                <a:round/>
              </a:ln>
              <a:effectLst/>
            </c:spPr>
            <c:extLst>
              <c:ext xmlns:c16="http://schemas.microsoft.com/office/drawing/2014/chart" uri="{C3380CC4-5D6E-409C-BE32-E72D297353CC}">
                <c16:uniqueId val="{00000005-C2BC-45C4-AD4A-7F67A2F8B6E0}"/>
              </c:ext>
            </c:extLst>
          </c:dPt>
          <c:dPt>
            <c:idx val="3"/>
            <c:marker>
              <c:spPr>
                <a:solidFill>
                  <a:schemeClr val="accent4"/>
                </a:solidFill>
                <a:ln w="9525" cap="flat" cmpd="sng" algn="ctr">
                  <a:solidFill>
                    <a:schemeClr val="accent4"/>
                  </a:solidFill>
                  <a:round/>
                </a:ln>
                <a:effectLst/>
              </c:spPr>
            </c:marker>
            <c:bubble3D val="0"/>
            <c:spPr>
              <a:ln w="22225" cap="rnd" cmpd="sng" algn="ctr">
                <a:solidFill>
                  <a:schemeClr val="accent4"/>
                </a:solidFill>
                <a:round/>
              </a:ln>
              <a:effectLst/>
            </c:spPr>
            <c:extLst>
              <c:ext xmlns:c16="http://schemas.microsoft.com/office/drawing/2014/chart" uri="{C3380CC4-5D6E-409C-BE32-E72D297353CC}">
                <c16:uniqueId val="{00000007-C2BC-45C4-AD4A-7F67A2F8B6E0}"/>
              </c:ext>
            </c:extLst>
          </c:dPt>
          <c:dPt>
            <c:idx val="4"/>
            <c:marker>
              <c:spPr>
                <a:solidFill>
                  <a:schemeClr val="accent5"/>
                </a:solidFill>
                <a:ln w="9525" cap="flat" cmpd="sng" algn="ctr">
                  <a:solidFill>
                    <a:schemeClr val="accent5"/>
                  </a:solidFill>
                  <a:round/>
                </a:ln>
                <a:effectLst/>
              </c:spPr>
            </c:marker>
            <c:bubble3D val="0"/>
            <c:spPr>
              <a:ln w="22225" cap="rnd" cmpd="sng" algn="ctr">
                <a:solidFill>
                  <a:schemeClr val="accent5"/>
                </a:solidFill>
                <a:round/>
              </a:ln>
              <a:effectLst/>
            </c:spPr>
            <c:extLst>
              <c:ext xmlns:c16="http://schemas.microsoft.com/office/drawing/2014/chart" uri="{C3380CC4-5D6E-409C-BE32-E72D297353CC}">
                <c16:uniqueId val="{00000009-C2BC-45C4-AD4A-7F67A2F8B6E0}"/>
              </c:ext>
            </c:extLst>
          </c:dPt>
          <c:dPt>
            <c:idx val="5"/>
            <c:marker>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B-C2BC-45C4-AD4A-7F67A2F8B6E0}"/>
              </c:ext>
            </c:extLst>
          </c:dPt>
          <c:dPt>
            <c:idx val="6"/>
            <c:marker>
              <c:spPr>
                <a:solidFill>
                  <a:schemeClr val="accent1">
                    <a:lumMod val="60000"/>
                  </a:schemeClr>
                </a:solidFill>
                <a:ln w="9525" cap="flat" cmpd="sng" algn="ctr">
                  <a:solidFill>
                    <a:schemeClr val="accent1">
                      <a:lumMod val="60000"/>
                    </a:schemeClr>
                  </a:solidFill>
                  <a:round/>
                </a:ln>
                <a:effectLst/>
              </c:spPr>
            </c:marker>
            <c:bubble3D val="0"/>
            <c:spPr>
              <a:ln w="22225" cap="rnd" cmpd="sng" algn="ctr">
                <a:solidFill>
                  <a:schemeClr val="accent1">
                    <a:lumMod val="60000"/>
                  </a:schemeClr>
                </a:solidFill>
                <a:round/>
              </a:ln>
              <a:effectLst/>
            </c:spPr>
            <c:extLst>
              <c:ext xmlns:c16="http://schemas.microsoft.com/office/drawing/2014/chart" uri="{C3380CC4-5D6E-409C-BE32-E72D297353CC}">
                <c16:uniqueId val="{0000000D-C2BC-45C4-AD4A-7F67A2F8B6E0}"/>
              </c:ext>
            </c:extLst>
          </c:dPt>
          <c:dPt>
            <c:idx val="7"/>
            <c:marker>
              <c:spPr>
                <a:solidFill>
                  <a:schemeClr val="accent2">
                    <a:lumMod val="60000"/>
                  </a:schemeClr>
                </a:solidFill>
                <a:ln w="9525" cap="flat" cmpd="sng" algn="ctr">
                  <a:solidFill>
                    <a:schemeClr val="accent2">
                      <a:lumMod val="60000"/>
                    </a:schemeClr>
                  </a:solidFill>
                  <a:round/>
                </a:ln>
                <a:effectLst/>
              </c:spPr>
            </c:marker>
            <c:bubble3D val="0"/>
            <c:spPr>
              <a:ln w="22225" cap="rnd" cmpd="sng" algn="ctr">
                <a:solidFill>
                  <a:schemeClr val="accent2">
                    <a:lumMod val="60000"/>
                  </a:schemeClr>
                </a:solidFill>
                <a:round/>
              </a:ln>
              <a:effectLst/>
            </c:spPr>
            <c:extLst>
              <c:ext xmlns:c16="http://schemas.microsoft.com/office/drawing/2014/chart" uri="{C3380CC4-5D6E-409C-BE32-E72D297353CC}">
                <c16:uniqueId val="{0000000F-C2BC-45C4-AD4A-7F67A2F8B6E0}"/>
              </c:ext>
            </c:extLst>
          </c:dPt>
          <c:dPt>
            <c:idx val="8"/>
            <c:marker>
              <c:spPr>
                <a:solidFill>
                  <a:schemeClr val="accent3">
                    <a:lumMod val="60000"/>
                  </a:schemeClr>
                </a:solidFill>
                <a:ln w="9525" cap="flat" cmpd="sng" algn="ctr">
                  <a:solidFill>
                    <a:schemeClr val="accent3">
                      <a:lumMod val="60000"/>
                    </a:schemeClr>
                  </a:solidFill>
                  <a:round/>
                </a:ln>
                <a:effectLst/>
              </c:spPr>
            </c:marker>
            <c:bubble3D val="0"/>
            <c:spPr>
              <a:ln w="22225" cap="rnd" cmpd="sng" algn="ctr">
                <a:solidFill>
                  <a:schemeClr val="accent3">
                    <a:lumMod val="60000"/>
                  </a:schemeClr>
                </a:solidFill>
                <a:round/>
              </a:ln>
              <a:effectLst/>
            </c:spPr>
            <c:extLst>
              <c:ext xmlns:c16="http://schemas.microsoft.com/office/drawing/2014/chart" uri="{C3380CC4-5D6E-409C-BE32-E72D297353CC}">
                <c16:uniqueId val="{00000011-C2BC-45C4-AD4A-7F67A2F8B6E0}"/>
              </c:ext>
            </c:extLst>
          </c:dPt>
          <c:dPt>
            <c:idx val="9"/>
            <c:marker>
              <c:spPr>
                <a:solidFill>
                  <a:schemeClr val="accent4">
                    <a:lumMod val="60000"/>
                  </a:schemeClr>
                </a:solidFill>
                <a:ln w="9525" cap="flat" cmpd="sng" algn="ctr">
                  <a:solidFill>
                    <a:schemeClr val="accent4">
                      <a:lumMod val="60000"/>
                    </a:schemeClr>
                  </a:solidFill>
                  <a:round/>
                </a:ln>
                <a:effectLst/>
              </c:spPr>
            </c:marker>
            <c:bubble3D val="0"/>
            <c:spPr>
              <a:ln w="22225" cap="rnd" cmpd="sng" algn="ctr">
                <a:solidFill>
                  <a:schemeClr val="accent4">
                    <a:lumMod val="60000"/>
                  </a:schemeClr>
                </a:solidFill>
                <a:round/>
              </a:ln>
              <a:effectLst/>
            </c:spPr>
            <c:extLst>
              <c:ext xmlns:c16="http://schemas.microsoft.com/office/drawing/2014/chart" uri="{C3380CC4-5D6E-409C-BE32-E72D297353CC}">
                <c16:uniqueId val="{00000013-C2BC-45C4-AD4A-7F67A2F8B6E0}"/>
              </c:ext>
            </c:extLst>
          </c:dPt>
          <c:dPt>
            <c:idx val="10"/>
            <c:marker>
              <c:spPr>
                <a:solidFill>
                  <a:schemeClr val="accent5">
                    <a:lumMod val="60000"/>
                  </a:schemeClr>
                </a:solidFill>
                <a:ln w="9525" cap="flat" cmpd="sng" algn="ctr">
                  <a:solidFill>
                    <a:schemeClr val="accent5">
                      <a:lumMod val="60000"/>
                    </a:schemeClr>
                  </a:solidFill>
                  <a:round/>
                </a:ln>
                <a:effectLst/>
              </c:spPr>
            </c:marker>
            <c:bubble3D val="0"/>
            <c:spPr>
              <a:ln w="22225" cap="rnd" cmpd="sng" algn="ctr">
                <a:solidFill>
                  <a:schemeClr val="accent5">
                    <a:lumMod val="60000"/>
                  </a:schemeClr>
                </a:solidFill>
                <a:round/>
              </a:ln>
              <a:effectLst/>
            </c:spPr>
            <c:extLst>
              <c:ext xmlns:c16="http://schemas.microsoft.com/office/drawing/2014/chart" uri="{C3380CC4-5D6E-409C-BE32-E72D297353CC}">
                <c16:uniqueId val="{00000015-C2BC-45C4-AD4A-7F67A2F8B6E0}"/>
              </c:ext>
            </c:extLst>
          </c:dPt>
          <c:dPt>
            <c:idx val="11"/>
            <c:marker>
              <c:spPr>
                <a:solidFill>
                  <a:schemeClr val="accent6">
                    <a:lumMod val="60000"/>
                  </a:schemeClr>
                </a:solidFill>
                <a:ln w="9525" cap="flat" cmpd="sng" algn="ctr">
                  <a:solidFill>
                    <a:schemeClr val="accent6">
                      <a:lumMod val="60000"/>
                    </a:schemeClr>
                  </a:solidFill>
                  <a:round/>
                </a:ln>
                <a:effectLst/>
              </c:spPr>
            </c:marker>
            <c:bubble3D val="0"/>
            <c:spPr>
              <a:ln w="22225" cap="rnd" cmpd="sng" algn="ctr">
                <a:solidFill>
                  <a:schemeClr val="accent6">
                    <a:lumMod val="60000"/>
                  </a:schemeClr>
                </a:solidFill>
                <a:round/>
              </a:ln>
              <a:effectLst/>
            </c:spPr>
            <c:extLst>
              <c:ext xmlns:c16="http://schemas.microsoft.com/office/drawing/2014/chart" uri="{C3380CC4-5D6E-409C-BE32-E72D297353CC}">
                <c16:uniqueId val="{00000017-C2BC-45C4-AD4A-7F67A2F8B6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Analysis!$F$4:$F$16</c:f>
              <c:strCache>
                <c:ptCount val="12"/>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strCache>
            </c:strRef>
          </c:cat>
          <c:val>
            <c:numRef>
              <c:f>Analysis!$G$4:$G$16</c:f>
              <c:numCache>
                <c:formatCode>General</c:formatCode>
                <c:ptCount val="12"/>
                <c:pt idx="0">
                  <c:v>66.5</c:v>
                </c:pt>
                <c:pt idx="1">
                  <c:v>61.7</c:v>
                </c:pt>
                <c:pt idx="2">
                  <c:v>70.900000000000006</c:v>
                </c:pt>
                <c:pt idx="3">
                  <c:v>56.6</c:v>
                </c:pt>
                <c:pt idx="4">
                  <c:v>47.5</c:v>
                </c:pt>
                <c:pt idx="5">
                  <c:v>58.3</c:v>
                </c:pt>
                <c:pt idx="6">
                  <c:v>40.1</c:v>
                </c:pt>
                <c:pt idx="7">
                  <c:v>85</c:v>
                </c:pt>
                <c:pt idx="8">
                  <c:v>58.5</c:v>
                </c:pt>
                <c:pt idx="9">
                  <c:v>58.9</c:v>
                </c:pt>
                <c:pt idx="10">
                  <c:v>84</c:v>
                </c:pt>
                <c:pt idx="11">
                  <c:v>59.3</c:v>
                </c:pt>
              </c:numCache>
            </c:numRef>
          </c:val>
          <c:smooth val="0"/>
          <c:extLst>
            <c:ext xmlns:c16="http://schemas.microsoft.com/office/drawing/2014/chart" uri="{C3380CC4-5D6E-409C-BE32-E72D297353CC}">
              <c16:uniqueId val="{00000018-C2BC-45C4-AD4A-7F67A2F8B6E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04092456"/>
        <c:axId val="504093536"/>
      </c:lineChart>
      <c:catAx>
        <c:axId val="504092456"/>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504093536"/>
        <c:crosses val="autoZero"/>
        <c:auto val="1"/>
        <c:lblAlgn val="ctr"/>
        <c:lblOffset val="100"/>
        <c:noMultiLvlLbl val="0"/>
      </c:catAx>
      <c:valAx>
        <c:axId val="504093536"/>
        <c:scaling>
          <c:orientation val="minMax"/>
        </c:scaling>
        <c:delete val="1"/>
        <c:axPos val="l"/>
        <c:numFmt formatCode="General" sourceLinked="1"/>
        <c:majorTickMark val="out"/>
        <c:minorTickMark val="none"/>
        <c:tickLblPos val="nextTo"/>
        <c:crossAx val="504092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4">
            <a:lumMod val="40000"/>
            <a:lumOff val="6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7251-4C07-82F5-753EB6D07C50}"/>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7251-4C07-82F5-753EB6D07C50}"/>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7251-4C07-82F5-753EB6D07C50}"/>
              </c:ext>
            </c:extLst>
          </c:dPt>
          <c:dPt>
            <c:idx val="3"/>
            <c:bubble3D val="0"/>
            <c:spPr>
              <a:noFill/>
              <a:ln w="19050">
                <a:noFill/>
              </a:ln>
              <a:effectLst/>
            </c:spPr>
            <c:extLst>
              <c:ext xmlns:c16="http://schemas.microsoft.com/office/drawing/2014/chart" uri="{C3380CC4-5D6E-409C-BE32-E72D297353CC}">
                <c16:uniqueId val="{00000007-7251-4C07-82F5-753EB6D07C50}"/>
              </c:ext>
            </c:extLst>
          </c:dPt>
          <c:val>
            <c:numRef>
              <c:f>Meter!$B$7:$E$7</c:f>
              <c:numCache>
                <c:formatCode>General</c:formatCode>
                <c:ptCount val="4"/>
                <c:pt idx="0">
                  <c:v>20</c:v>
                </c:pt>
                <c:pt idx="1">
                  <c:v>50</c:v>
                </c:pt>
                <c:pt idx="2">
                  <c:v>30</c:v>
                </c:pt>
                <c:pt idx="3">
                  <c:v>100</c:v>
                </c:pt>
              </c:numCache>
            </c:numRef>
          </c:val>
          <c:extLst>
            <c:ext xmlns:c16="http://schemas.microsoft.com/office/drawing/2014/chart" uri="{C3380CC4-5D6E-409C-BE32-E72D297353CC}">
              <c16:uniqueId val="{00000008-7251-4C07-82F5-753EB6D07C50}"/>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solidFill>
              <a:srgbClr val="00B050"/>
            </a:solidFill>
            <a:ln>
              <a:noFill/>
            </a:ln>
          </c:spPr>
          <c:dPt>
            <c:idx val="0"/>
            <c:bubble3D val="0"/>
            <c:spPr>
              <a:noFill/>
              <a:ln>
                <a:noFill/>
              </a:ln>
            </c:spPr>
            <c:extLst>
              <c:ext xmlns:c16="http://schemas.microsoft.com/office/drawing/2014/chart" uri="{C3380CC4-5D6E-409C-BE32-E72D297353CC}">
                <c16:uniqueId val="{00000001-579C-474B-B4FF-35827FB2D838}"/>
              </c:ext>
            </c:extLst>
          </c:dPt>
          <c:dPt>
            <c:idx val="1"/>
            <c:bubble3D val="0"/>
            <c:spPr>
              <a:solidFill>
                <a:schemeClr val="tx1"/>
              </a:solidFill>
              <a:ln>
                <a:noFill/>
              </a:ln>
            </c:spPr>
            <c:extLst>
              <c:ext xmlns:c16="http://schemas.microsoft.com/office/drawing/2014/chart" uri="{C3380CC4-5D6E-409C-BE32-E72D297353CC}">
                <c16:uniqueId val="{00000003-579C-474B-B4FF-35827FB2D838}"/>
              </c:ext>
            </c:extLst>
          </c:dPt>
          <c:dPt>
            <c:idx val="2"/>
            <c:bubble3D val="0"/>
            <c:spPr>
              <a:noFill/>
              <a:ln>
                <a:noFill/>
              </a:ln>
            </c:spPr>
            <c:extLst>
              <c:ext xmlns:c16="http://schemas.microsoft.com/office/drawing/2014/chart" uri="{C3380CC4-5D6E-409C-BE32-E72D297353CC}">
                <c16:uniqueId val="{00000005-579C-474B-B4FF-35827FB2D838}"/>
              </c:ext>
            </c:extLst>
          </c:dPt>
          <c:val>
            <c:numRef>
              <c:f>Meter!$B$10:$D$10</c:f>
              <c:numCache>
                <c:formatCode>General</c:formatCode>
                <c:ptCount val="3"/>
                <c:pt idx="0">
                  <c:v>40.1</c:v>
                </c:pt>
                <c:pt idx="1">
                  <c:v>-2</c:v>
                </c:pt>
                <c:pt idx="2">
                  <c:v>161.9</c:v>
                </c:pt>
              </c:numCache>
            </c:numRef>
          </c:val>
          <c:extLst>
            <c:ext xmlns:c16="http://schemas.microsoft.com/office/drawing/2014/chart" uri="{C3380CC4-5D6E-409C-BE32-E72D297353CC}">
              <c16:uniqueId val="{00000006-579C-474B-B4FF-35827FB2D838}"/>
            </c:ext>
          </c:extLst>
        </c:ser>
        <c:dLbls>
          <c:showLegendKey val="0"/>
          <c:showVal val="0"/>
          <c:showCatName val="0"/>
          <c:showSerName val="0"/>
          <c:showPercent val="0"/>
          <c:showBubbleSize val="0"/>
          <c:showLeaderLines val="1"/>
        </c:dLbls>
        <c:firstSliceAng val="270"/>
      </c:pieChart>
    </c:plotArea>
    <c:plotVisOnly val="1"/>
    <c:dispBlanksAs val="gap"/>
    <c:showDLblsOverMax val="0"/>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15</xdr:col>
      <xdr:colOff>60960</xdr:colOff>
      <xdr:row>6</xdr:row>
      <xdr:rowOff>0</xdr:rowOff>
    </xdr:from>
    <xdr:to>
      <xdr:col>24</xdr:col>
      <xdr:colOff>601980</xdr:colOff>
      <xdr:row>19</xdr:row>
      <xdr:rowOff>106680</xdr:rowOff>
    </xdr:to>
    <xdr:graphicFrame macro="">
      <xdr:nvGraphicFramePr>
        <xdr:cNvPr id="2" name="Chart 1">
          <a:extLst>
            <a:ext uri="{FF2B5EF4-FFF2-40B4-BE49-F238E27FC236}">
              <a16:creationId xmlns:a16="http://schemas.microsoft.com/office/drawing/2014/main" id="{59F050E8-4440-493A-9156-50E458721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22860</xdr:colOff>
      <xdr:row>5</xdr:row>
      <xdr:rowOff>64770</xdr:rowOff>
    </xdr:from>
    <xdr:to>
      <xdr:col>5</xdr:col>
      <xdr:colOff>76200</xdr:colOff>
      <xdr:row>30</xdr:row>
      <xdr:rowOff>175260</xdr:rowOff>
    </xdr:to>
    <mc:AlternateContent xmlns:mc="http://schemas.openxmlformats.org/markup-compatibility/2006" xmlns:a14="http://schemas.microsoft.com/office/drawing/2010/main">
      <mc:Choice Requires="a14">
        <xdr:graphicFrame macro="">
          <xdr:nvGraphicFramePr>
            <xdr:cNvPr id="3" name="Month 3">
              <a:extLst>
                <a:ext uri="{FF2B5EF4-FFF2-40B4-BE49-F238E27FC236}">
                  <a16:creationId xmlns:a16="http://schemas.microsoft.com/office/drawing/2014/main" id="{9F0E08A2-DCA2-41D1-8517-B5735167D2C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762000" y="918210"/>
              <a:ext cx="1882140" cy="4499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68580</xdr:colOff>
      <xdr:row>19</xdr:row>
      <xdr:rowOff>144780</xdr:rowOff>
    </xdr:from>
    <xdr:to>
      <xdr:col>24</xdr:col>
      <xdr:colOff>601980</xdr:colOff>
      <xdr:row>31</xdr:row>
      <xdr:rowOff>0</xdr:rowOff>
    </xdr:to>
    <xdr:graphicFrame macro="">
      <xdr:nvGraphicFramePr>
        <xdr:cNvPr id="4" name="Chart 3">
          <a:extLst>
            <a:ext uri="{FF2B5EF4-FFF2-40B4-BE49-F238E27FC236}">
              <a16:creationId xmlns:a16="http://schemas.microsoft.com/office/drawing/2014/main" id="{1665E741-B311-402E-B482-6F90EF8A1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563879</xdr:colOff>
      <xdr:row>14</xdr:row>
      <xdr:rowOff>60960</xdr:rowOff>
    </xdr:from>
    <xdr:to>
      <xdr:col>17</xdr:col>
      <xdr:colOff>29601</xdr:colOff>
      <xdr:row>30</xdr:row>
      <xdr:rowOff>30480</xdr:rowOff>
    </xdr:to>
    <xdr:graphicFrame macro="">
      <xdr:nvGraphicFramePr>
        <xdr:cNvPr id="5" name="Chart 4">
          <a:extLst>
            <a:ext uri="{FF2B5EF4-FFF2-40B4-BE49-F238E27FC236}">
              <a16:creationId xmlns:a16="http://schemas.microsoft.com/office/drawing/2014/main" id="{1DB10939-26FC-4EBC-9304-6CFD5574F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14</xdr:row>
      <xdr:rowOff>53340</xdr:rowOff>
    </xdr:from>
    <xdr:to>
      <xdr:col>16</xdr:col>
      <xdr:colOff>838200</xdr:colOff>
      <xdr:row>30</xdr:row>
      <xdr:rowOff>22860</xdr:rowOff>
    </xdr:to>
    <xdr:graphicFrame macro="">
      <xdr:nvGraphicFramePr>
        <xdr:cNvPr id="6" name="Chart 5">
          <a:extLst>
            <a:ext uri="{FF2B5EF4-FFF2-40B4-BE49-F238E27FC236}">
              <a16:creationId xmlns:a16="http://schemas.microsoft.com/office/drawing/2014/main" id="{3AEA0E64-4CEF-4AF1-884B-315B2276D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335280</xdr:colOff>
      <xdr:row>21</xdr:row>
      <xdr:rowOff>91440</xdr:rowOff>
    </xdr:from>
    <xdr:to>
      <xdr:col>11</xdr:col>
      <xdr:colOff>373380</xdr:colOff>
      <xdr:row>23</xdr:row>
      <xdr:rowOff>175260</xdr:rowOff>
    </xdr:to>
    <xdr:sp macro="" textlink="$L$9">
      <xdr:nvSpPr>
        <xdr:cNvPr id="7" name="Rectangle: Rounded Corners 6">
          <a:extLst>
            <a:ext uri="{FF2B5EF4-FFF2-40B4-BE49-F238E27FC236}">
              <a16:creationId xmlns:a16="http://schemas.microsoft.com/office/drawing/2014/main" id="{42148EEC-D030-47C1-9A63-F2F209033333}"/>
            </a:ext>
          </a:extLst>
        </xdr:cNvPr>
        <xdr:cNvSpPr/>
      </xdr:nvSpPr>
      <xdr:spPr>
        <a:xfrm>
          <a:off x="4648200" y="3566160"/>
          <a:ext cx="731520" cy="449580"/>
        </a:xfrm>
        <a:custGeom>
          <a:avLst/>
          <a:gdLst>
            <a:gd name="connsiteX0" fmla="*/ 0 w 731520"/>
            <a:gd name="connsiteY0" fmla="*/ 74931 h 449580"/>
            <a:gd name="connsiteX1" fmla="*/ 74931 w 731520"/>
            <a:gd name="connsiteY1" fmla="*/ 0 h 449580"/>
            <a:gd name="connsiteX2" fmla="*/ 656589 w 731520"/>
            <a:gd name="connsiteY2" fmla="*/ 0 h 449580"/>
            <a:gd name="connsiteX3" fmla="*/ 731520 w 731520"/>
            <a:gd name="connsiteY3" fmla="*/ 74931 h 449580"/>
            <a:gd name="connsiteX4" fmla="*/ 731520 w 731520"/>
            <a:gd name="connsiteY4" fmla="*/ 374649 h 449580"/>
            <a:gd name="connsiteX5" fmla="*/ 656589 w 731520"/>
            <a:gd name="connsiteY5" fmla="*/ 449580 h 449580"/>
            <a:gd name="connsiteX6" fmla="*/ 74931 w 731520"/>
            <a:gd name="connsiteY6" fmla="*/ 449580 h 449580"/>
            <a:gd name="connsiteX7" fmla="*/ 0 w 731520"/>
            <a:gd name="connsiteY7" fmla="*/ 374649 h 449580"/>
            <a:gd name="connsiteX8" fmla="*/ 0 w 731520"/>
            <a:gd name="connsiteY8" fmla="*/ 74931 h 4495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31520" h="449580" fill="none" extrusionOk="0">
              <a:moveTo>
                <a:pt x="0" y="74931"/>
              </a:moveTo>
              <a:cubicBezTo>
                <a:pt x="7210" y="38802"/>
                <a:pt x="41368" y="5528"/>
                <a:pt x="74931" y="0"/>
              </a:cubicBezTo>
              <a:cubicBezTo>
                <a:pt x="316121" y="-39490"/>
                <a:pt x="453348" y="39866"/>
                <a:pt x="656589" y="0"/>
              </a:cubicBezTo>
              <a:cubicBezTo>
                <a:pt x="690342" y="5167"/>
                <a:pt x="727845" y="26799"/>
                <a:pt x="731520" y="74931"/>
              </a:cubicBezTo>
              <a:cubicBezTo>
                <a:pt x="740295" y="192889"/>
                <a:pt x="721323" y="287366"/>
                <a:pt x="731520" y="374649"/>
              </a:cubicBezTo>
              <a:cubicBezTo>
                <a:pt x="722860" y="408739"/>
                <a:pt x="687251" y="445554"/>
                <a:pt x="656589" y="449580"/>
              </a:cubicBezTo>
              <a:cubicBezTo>
                <a:pt x="467034" y="463932"/>
                <a:pt x="196915" y="444662"/>
                <a:pt x="74931" y="449580"/>
              </a:cubicBezTo>
              <a:cubicBezTo>
                <a:pt x="26237" y="456914"/>
                <a:pt x="7606" y="413031"/>
                <a:pt x="0" y="374649"/>
              </a:cubicBezTo>
              <a:cubicBezTo>
                <a:pt x="-15973" y="235279"/>
                <a:pt x="11027" y="175953"/>
                <a:pt x="0" y="74931"/>
              </a:cubicBezTo>
              <a:close/>
            </a:path>
            <a:path w="731520" h="449580" stroke="0" extrusionOk="0">
              <a:moveTo>
                <a:pt x="0" y="74931"/>
              </a:moveTo>
              <a:cubicBezTo>
                <a:pt x="-6507" y="24643"/>
                <a:pt x="31054" y="-1591"/>
                <a:pt x="74931" y="0"/>
              </a:cubicBezTo>
              <a:cubicBezTo>
                <a:pt x="236372" y="-41107"/>
                <a:pt x="389098" y="49906"/>
                <a:pt x="656589" y="0"/>
              </a:cubicBezTo>
              <a:cubicBezTo>
                <a:pt x="697301" y="954"/>
                <a:pt x="729262" y="32014"/>
                <a:pt x="731520" y="74931"/>
              </a:cubicBezTo>
              <a:cubicBezTo>
                <a:pt x="760734" y="151170"/>
                <a:pt x="708933" y="309295"/>
                <a:pt x="731520" y="374649"/>
              </a:cubicBezTo>
              <a:cubicBezTo>
                <a:pt x="733506" y="406536"/>
                <a:pt x="697068" y="452977"/>
                <a:pt x="656589" y="449580"/>
              </a:cubicBezTo>
              <a:cubicBezTo>
                <a:pt x="490860" y="479750"/>
                <a:pt x="360943" y="434056"/>
                <a:pt x="74931" y="449580"/>
              </a:cubicBezTo>
              <a:cubicBezTo>
                <a:pt x="34726" y="448844"/>
                <a:pt x="396" y="426101"/>
                <a:pt x="0" y="374649"/>
              </a:cubicBezTo>
              <a:cubicBezTo>
                <a:pt x="-9337" y="263740"/>
                <a:pt x="19106" y="218460"/>
                <a:pt x="0" y="74931"/>
              </a:cubicBezTo>
              <a:close/>
            </a:path>
          </a:pathLst>
        </a:custGeom>
        <a:gradFill>
          <a:gsLst>
            <a:gs pos="0">
              <a:schemeClr val="accent1">
                <a:lumMod val="20000"/>
                <a:lumOff val="80000"/>
              </a:schemeClr>
            </a:gs>
            <a:gs pos="100000">
              <a:srgbClr val="92D050"/>
            </a:gs>
          </a:gsLst>
          <a:lin ang="5400000" scaled="1"/>
        </a:gradFill>
        <a:ln>
          <a:noFill/>
          <a:extLst>
            <a:ext uri="{C807C97D-BFC1-408E-A445-0C87EB9F89A2}">
              <ask:lineSketchStyleProps xmlns:ask="http://schemas.microsoft.com/office/drawing/2018/sketchyshapes" sd="252692197">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CE7F8D-4516-4CF2-B3AA-48D53791E78C}" type="TxLink">
            <a:rPr lang="en-US" sz="2200" b="1" i="0" u="none" strike="noStrike">
              <a:solidFill>
                <a:srgbClr val="000000"/>
              </a:solidFill>
              <a:latin typeface="Calibri"/>
              <a:cs typeface="Calibri"/>
            </a:rPr>
            <a:pPr algn="l"/>
            <a:t>40.1</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821.960937615739" createdVersion="8" refreshedVersion="8" minRefreshableVersion="3" recordCount="12" xr:uid="{E09A0A9D-11EE-4422-99B0-3AD9CFC67C80}">
  <cacheSource type="worksheet">
    <worksheetSource ref="A1:L13" sheet="Don't Edit"/>
  </cacheSource>
  <cacheFields count="12">
    <cacheField name="Month" numFmtId="0">
      <sharedItems count="12">
        <s v="January"/>
        <s v="February"/>
        <s v="March"/>
        <s v="April"/>
        <s v="May"/>
        <s v="June"/>
        <s v="July"/>
        <s v="August"/>
        <s v="September"/>
        <s v="October"/>
        <s v="November"/>
        <s v="December"/>
      </sharedItems>
    </cacheField>
    <cacheField name="Fatality" numFmtId="0">
      <sharedItems containsSemiMixedTypes="0" containsString="0" containsNumber="1" containsInteger="1" minValue="0" maxValue="10"/>
    </cacheField>
    <cacheField name="LTI" numFmtId="0">
      <sharedItems containsSemiMixedTypes="0" containsString="0" containsNumber="1" containsInteger="1" minValue="0" maxValue="10"/>
    </cacheField>
    <cacheField name="Property Damage" numFmtId="0">
      <sharedItems containsSemiMixedTypes="0" containsString="0" containsNumber="1" containsInteger="1" minValue="0" maxValue="10"/>
    </cacheField>
    <cacheField name="Penalty / Memo from Authority" numFmtId="0">
      <sharedItems containsSemiMixedTypes="0" containsString="0" containsNumber="1" containsInteger="1" minValue="0" maxValue="10"/>
    </cacheField>
    <cacheField name="EHS Training" numFmtId="0">
      <sharedItems containsSemiMixedTypes="0" containsString="0" containsNumber="1" containsInteger="1" minValue="8" maxValue="10"/>
    </cacheField>
    <cacheField name="Inspection" numFmtId="0">
      <sharedItems containsSemiMixedTypes="0" containsString="0" containsNumber="1" containsInteger="1" minValue="8" maxValue="10"/>
    </cacheField>
    <cacheField name="Mock Drill" numFmtId="0">
      <sharedItems containsSemiMixedTypes="0" containsString="0" containsNumber="1" containsInteger="1" minValue="0" maxValue="5"/>
    </cacheField>
    <cacheField name="Walkthrough" numFmtId="0">
      <sharedItems containsSemiMixedTypes="0" containsString="0" containsNumber="1" minValue="2.5" maxValue="5"/>
    </cacheField>
    <cacheField name="HSE Committee Meeting" numFmtId="0">
      <sharedItems containsSemiMixedTypes="0" containsString="0" containsNumber="1" containsInteger="1" minValue="0" maxValue="10"/>
    </cacheField>
    <cacheField name="HSE Induction" numFmtId="0">
      <sharedItems containsSemiMixedTypes="0" containsString="0" containsNumber="1" minValue="5.3000000000000007" maxValue="9.8000000000000007"/>
    </cacheField>
    <cacheField name="Work Permit" numFmtId="0">
      <sharedItems containsSemiMixedTypes="0" containsString="0" containsNumber="1" minValue="5.5" maxValue="9.9"/>
    </cacheField>
  </cacheFields>
  <extLst>
    <ext xmlns:x14="http://schemas.microsoft.com/office/spreadsheetml/2009/9/main" uri="{725AE2AE-9491-48be-B2B4-4EB974FC3084}">
      <x14:pivotCacheDefinition pivotCacheId="18296697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821.960939236109" createdVersion="8" refreshedVersion="8" minRefreshableVersion="3" recordCount="12" xr:uid="{20C33525-AD1B-4187-A96B-60DE1FBDC8A6}">
  <cacheSource type="worksheet">
    <worksheetSource ref="A1:M13" sheet="Don't Edit"/>
  </cacheSource>
  <cacheFields count="13">
    <cacheField name="Month" numFmtId="0">
      <sharedItems count="12">
        <s v="January"/>
        <s v="February"/>
        <s v="March"/>
        <s v="April"/>
        <s v="May"/>
        <s v="June"/>
        <s v="July"/>
        <s v="August"/>
        <s v="September"/>
        <s v="October"/>
        <s v="November"/>
        <s v="December"/>
      </sharedItems>
    </cacheField>
    <cacheField name="Fatality" numFmtId="0">
      <sharedItems containsSemiMixedTypes="0" containsString="0" containsNumber="1" containsInteger="1" minValue="0" maxValue="10"/>
    </cacheField>
    <cacheField name="LTI" numFmtId="0">
      <sharedItems containsSemiMixedTypes="0" containsString="0" containsNumber="1" containsInteger="1" minValue="0" maxValue="10"/>
    </cacheField>
    <cacheField name="Property Damage" numFmtId="0">
      <sharedItems containsSemiMixedTypes="0" containsString="0" containsNumber="1" containsInteger="1" minValue="0" maxValue="10"/>
    </cacheField>
    <cacheField name="Penalty / Memo from Authority" numFmtId="0">
      <sharedItems containsSemiMixedTypes="0" containsString="0" containsNumber="1" containsInteger="1" minValue="0" maxValue="10"/>
    </cacheField>
    <cacheField name="EHS Training" numFmtId="0">
      <sharedItems containsSemiMixedTypes="0" containsString="0" containsNumber="1" containsInteger="1" minValue="8" maxValue="10"/>
    </cacheField>
    <cacheField name="Inspection" numFmtId="0">
      <sharedItems containsSemiMixedTypes="0" containsString="0" containsNumber="1" containsInteger="1" minValue="8" maxValue="10"/>
    </cacheField>
    <cacheField name="Mock Drill" numFmtId="0">
      <sharedItems containsSemiMixedTypes="0" containsString="0" containsNumber="1" containsInteger="1" minValue="0" maxValue="5"/>
    </cacheField>
    <cacheField name="Walkthrough" numFmtId="0">
      <sharedItems containsSemiMixedTypes="0" containsString="0" containsNumber="1" minValue="2.5" maxValue="5"/>
    </cacheField>
    <cacheField name="HSE Committee Meeting" numFmtId="0">
      <sharedItems containsSemiMixedTypes="0" containsString="0" containsNumber="1" containsInteger="1" minValue="0" maxValue="10"/>
    </cacheField>
    <cacheField name="HSE Induction" numFmtId="0">
      <sharedItems containsSemiMixedTypes="0" containsString="0" containsNumber="1" minValue="5.3000000000000007" maxValue="9.8000000000000007"/>
    </cacheField>
    <cacheField name="Work Permit" numFmtId="0">
      <sharedItems containsSemiMixedTypes="0" containsString="0" containsNumber="1" minValue="5.5" maxValue="9.9"/>
    </cacheField>
    <cacheField name="Total" numFmtId="0">
      <sharedItems containsSemiMixedTypes="0" containsString="0" containsNumber="1" minValue="40.1" maxValue="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0"/>
    <n v="0"/>
    <n v="0"/>
    <n v="10"/>
    <n v="9"/>
    <n v="10"/>
    <n v="0"/>
    <n v="5"/>
    <n v="10"/>
    <n v="5.3000000000000007"/>
    <n v="9.6"/>
  </r>
  <r>
    <x v="1"/>
    <n v="10"/>
    <n v="10"/>
    <n v="10"/>
    <n v="0"/>
    <n v="9"/>
    <n v="9"/>
    <n v="5"/>
    <n v="2.5"/>
    <n v="10"/>
    <n v="8.6"/>
    <n v="9.9"/>
  </r>
  <r>
    <x v="2"/>
    <n v="10"/>
    <n v="0"/>
    <n v="10"/>
    <n v="0"/>
    <n v="10"/>
    <n v="9"/>
    <n v="0"/>
    <n v="5"/>
    <n v="0"/>
    <n v="9.8000000000000007"/>
    <n v="5.5"/>
  </r>
  <r>
    <x v="3"/>
    <n v="0"/>
    <n v="0"/>
    <n v="10"/>
    <n v="0"/>
    <n v="10"/>
    <n v="10"/>
    <n v="5"/>
    <n v="5"/>
    <n v="10"/>
    <n v="9.2000000000000011"/>
    <n v="7.3"/>
  </r>
  <r>
    <x v="4"/>
    <n v="10"/>
    <n v="0"/>
    <n v="0"/>
    <n v="10"/>
    <n v="9"/>
    <n v="10"/>
    <n v="5"/>
    <n v="2.5"/>
    <n v="0"/>
    <n v="6.5"/>
    <n v="8.6999999999999993"/>
  </r>
  <r>
    <x v="5"/>
    <n v="10"/>
    <n v="10"/>
    <n v="0"/>
    <n v="10"/>
    <n v="8"/>
    <n v="10"/>
    <n v="5"/>
    <n v="2.5"/>
    <n v="0"/>
    <n v="8.9"/>
    <n v="6.5"/>
  </r>
  <r>
    <x v="6"/>
    <n v="10"/>
    <n v="0"/>
    <n v="0"/>
    <n v="10"/>
    <n v="10"/>
    <n v="8"/>
    <n v="0"/>
    <n v="5"/>
    <n v="0"/>
    <n v="8.1000000000000014"/>
    <n v="5.5"/>
  </r>
  <r>
    <x v="7"/>
    <n v="0"/>
    <n v="0"/>
    <n v="10"/>
    <n v="0"/>
    <n v="8"/>
    <n v="9"/>
    <n v="5"/>
    <n v="2.5"/>
    <n v="0"/>
    <n v="7.3"/>
    <n v="5.6999999999999993"/>
  </r>
  <r>
    <x v="8"/>
    <n v="0"/>
    <n v="0"/>
    <n v="10"/>
    <n v="0"/>
    <n v="9"/>
    <n v="10"/>
    <n v="0"/>
    <n v="5"/>
    <n v="10"/>
    <n v="6.4"/>
    <n v="7.9"/>
  </r>
  <r>
    <x v="9"/>
    <n v="0"/>
    <n v="0"/>
    <n v="0"/>
    <n v="0"/>
    <n v="10"/>
    <n v="9"/>
    <n v="5"/>
    <n v="2.5"/>
    <n v="0"/>
    <n v="5.6999999999999993"/>
    <n v="7.9"/>
  </r>
  <r>
    <x v="10"/>
    <n v="10"/>
    <n v="10"/>
    <n v="10"/>
    <n v="10"/>
    <n v="10"/>
    <n v="9"/>
    <n v="5"/>
    <n v="5"/>
    <n v="0"/>
    <n v="9.1"/>
    <n v="6.8999999999999995"/>
  </r>
  <r>
    <x v="11"/>
    <n v="0"/>
    <n v="0"/>
    <n v="10"/>
    <n v="0"/>
    <n v="9"/>
    <n v="8"/>
    <n v="0"/>
    <n v="5"/>
    <n v="10"/>
    <n v="8.1999999999999993"/>
    <n v="8.29999999999999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0"/>
    <n v="0"/>
    <n v="0"/>
    <n v="10"/>
    <n v="9"/>
    <n v="10"/>
    <n v="0"/>
    <n v="5"/>
    <n v="10"/>
    <n v="5.3000000000000007"/>
    <n v="9.6"/>
    <n v="58.9"/>
  </r>
  <r>
    <x v="1"/>
    <n v="10"/>
    <n v="10"/>
    <n v="10"/>
    <n v="0"/>
    <n v="9"/>
    <n v="9"/>
    <n v="5"/>
    <n v="2.5"/>
    <n v="10"/>
    <n v="8.6"/>
    <n v="9.9"/>
    <n v="84"/>
  </r>
  <r>
    <x v="2"/>
    <n v="10"/>
    <n v="0"/>
    <n v="10"/>
    <n v="0"/>
    <n v="10"/>
    <n v="9"/>
    <n v="0"/>
    <n v="5"/>
    <n v="0"/>
    <n v="9.8000000000000007"/>
    <n v="5.5"/>
    <n v="59.3"/>
  </r>
  <r>
    <x v="3"/>
    <n v="0"/>
    <n v="0"/>
    <n v="10"/>
    <n v="0"/>
    <n v="10"/>
    <n v="10"/>
    <n v="5"/>
    <n v="5"/>
    <n v="10"/>
    <n v="9.2000000000000011"/>
    <n v="7.3"/>
    <n v="66.5"/>
  </r>
  <r>
    <x v="4"/>
    <n v="10"/>
    <n v="0"/>
    <n v="0"/>
    <n v="10"/>
    <n v="9"/>
    <n v="10"/>
    <n v="5"/>
    <n v="2.5"/>
    <n v="0"/>
    <n v="6.5"/>
    <n v="8.6999999999999993"/>
    <n v="61.7"/>
  </r>
  <r>
    <x v="5"/>
    <n v="10"/>
    <n v="10"/>
    <n v="0"/>
    <n v="10"/>
    <n v="8"/>
    <n v="10"/>
    <n v="5"/>
    <n v="2.5"/>
    <n v="0"/>
    <n v="8.9"/>
    <n v="6.5"/>
    <n v="70.900000000000006"/>
  </r>
  <r>
    <x v="6"/>
    <n v="10"/>
    <n v="0"/>
    <n v="0"/>
    <n v="10"/>
    <n v="10"/>
    <n v="8"/>
    <n v="0"/>
    <n v="5"/>
    <n v="0"/>
    <n v="8.1000000000000014"/>
    <n v="5.5"/>
    <n v="56.6"/>
  </r>
  <r>
    <x v="7"/>
    <n v="0"/>
    <n v="0"/>
    <n v="10"/>
    <n v="0"/>
    <n v="8"/>
    <n v="9"/>
    <n v="5"/>
    <n v="2.5"/>
    <n v="0"/>
    <n v="7.3"/>
    <n v="5.6999999999999993"/>
    <n v="47.5"/>
  </r>
  <r>
    <x v="8"/>
    <n v="0"/>
    <n v="0"/>
    <n v="10"/>
    <n v="0"/>
    <n v="9"/>
    <n v="10"/>
    <n v="0"/>
    <n v="5"/>
    <n v="10"/>
    <n v="6.4"/>
    <n v="7.9"/>
    <n v="58.3"/>
  </r>
  <r>
    <x v="9"/>
    <n v="0"/>
    <n v="0"/>
    <n v="0"/>
    <n v="0"/>
    <n v="10"/>
    <n v="9"/>
    <n v="5"/>
    <n v="2.5"/>
    <n v="0"/>
    <n v="5.6999999999999993"/>
    <n v="7.9"/>
    <n v="40.1"/>
  </r>
  <r>
    <x v="10"/>
    <n v="10"/>
    <n v="10"/>
    <n v="10"/>
    <n v="10"/>
    <n v="10"/>
    <n v="9"/>
    <n v="5"/>
    <n v="5"/>
    <n v="0"/>
    <n v="9.1"/>
    <n v="6.8999999999999995"/>
    <n v="85"/>
  </r>
  <r>
    <x v="11"/>
    <n v="0"/>
    <n v="0"/>
    <n v="10"/>
    <n v="0"/>
    <n v="9"/>
    <n v="8"/>
    <n v="0"/>
    <n v="5"/>
    <n v="10"/>
    <n v="8.1999999999999993"/>
    <n v="8.2999999999999989"/>
    <n v="5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4F0F3-29EE-4310-AD25-391857307A80}"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3:B14" firstHeaderRow="1" firstDataRow="1" firstDataCol="1"/>
  <pivotFields count="12">
    <pivotField showAll="0">
      <items count="13">
        <item h="1" x="3"/>
        <item h="1" x="4"/>
        <item h="1" x="5"/>
        <item h="1" x="6"/>
        <item h="1" x="7"/>
        <item h="1" x="8"/>
        <item x="9"/>
        <item h="1" x="10"/>
        <item h="1" x="11"/>
        <item h="1" x="0"/>
        <item h="1" x="1"/>
        <item h="1"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1">
    <i>
      <x/>
    </i>
    <i i="1">
      <x v="1"/>
    </i>
    <i i="2">
      <x v="2"/>
    </i>
    <i i="3">
      <x v="3"/>
    </i>
    <i i="4">
      <x v="4"/>
    </i>
    <i i="5">
      <x v="5"/>
    </i>
    <i i="6">
      <x v="6"/>
    </i>
    <i i="7">
      <x v="7"/>
    </i>
    <i i="8">
      <x v="8"/>
    </i>
    <i i="9">
      <x v="9"/>
    </i>
    <i i="10">
      <x v="10"/>
    </i>
  </rowItems>
  <colItems count="1">
    <i/>
  </colItems>
  <dataFields count="11">
    <dataField name="Fatality " fld="1" baseField="0" baseItem="0"/>
    <dataField name=" LTI" fld="2" baseField="0" baseItem="0"/>
    <dataField name=" Property Damage" fld="3" baseField="0" baseItem="0"/>
    <dataField name=" Penalty / Memo from Authority" fld="4" baseField="0" baseItem="0"/>
    <dataField name=" EHS Training" fld="5" baseField="0" baseItem="0"/>
    <dataField name=" Inspection" fld="6" baseField="0" baseItem="0"/>
    <dataField name=" Mock Drill" fld="7" baseField="0" baseItem="0"/>
    <dataField name=" Walkthrough" fld="8" baseField="0" baseItem="0"/>
    <dataField name="HSE Committee Meeting " fld="9" baseField="0" baseItem="0"/>
    <dataField name=" HSE Induction" fld="10" baseField="0" baseItem="0"/>
    <dataField name=" Work Permit" fld="11" baseField="0" baseItem="0"/>
  </dataFields>
  <chartFormats count="12">
    <chartFormat chart="12" format="39" series="1">
      <pivotArea type="data" outline="0" fieldPosition="0">
        <references count="1">
          <reference field="4294967294" count="1" selected="0">
            <x v="0"/>
          </reference>
        </references>
      </pivotArea>
    </chartFormat>
    <chartFormat chart="12" format="40">
      <pivotArea type="data" outline="0" fieldPosition="0">
        <references count="1">
          <reference field="4294967294" count="1" selected="0">
            <x v="0"/>
          </reference>
        </references>
      </pivotArea>
    </chartFormat>
    <chartFormat chart="12" format="41">
      <pivotArea type="data" outline="0" fieldPosition="0">
        <references count="1">
          <reference field="4294967294" count="1" selected="0">
            <x v="1"/>
          </reference>
        </references>
      </pivotArea>
    </chartFormat>
    <chartFormat chart="12" format="42">
      <pivotArea type="data" outline="0" fieldPosition="0">
        <references count="1">
          <reference field="4294967294" count="1" selected="0">
            <x v="2"/>
          </reference>
        </references>
      </pivotArea>
    </chartFormat>
    <chartFormat chart="12" format="43">
      <pivotArea type="data" outline="0" fieldPosition="0">
        <references count="1">
          <reference field="4294967294" count="1" selected="0">
            <x v="3"/>
          </reference>
        </references>
      </pivotArea>
    </chartFormat>
    <chartFormat chart="12" format="44">
      <pivotArea type="data" outline="0" fieldPosition="0">
        <references count="1">
          <reference field="4294967294" count="1" selected="0">
            <x v="4"/>
          </reference>
        </references>
      </pivotArea>
    </chartFormat>
    <chartFormat chart="12" format="45">
      <pivotArea type="data" outline="0" fieldPosition="0">
        <references count="1">
          <reference field="4294967294" count="1" selected="0">
            <x v="5"/>
          </reference>
        </references>
      </pivotArea>
    </chartFormat>
    <chartFormat chart="12" format="46">
      <pivotArea type="data" outline="0" fieldPosition="0">
        <references count="1">
          <reference field="4294967294" count="1" selected="0">
            <x v="6"/>
          </reference>
        </references>
      </pivotArea>
    </chartFormat>
    <chartFormat chart="12" format="47">
      <pivotArea type="data" outline="0" fieldPosition="0">
        <references count="1">
          <reference field="4294967294" count="1" selected="0">
            <x v="7"/>
          </reference>
        </references>
      </pivotArea>
    </chartFormat>
    <chartFormat chart="12" format="48">
      <pivotArea type="data" outline="0" fieldPosition="0">
        <references count="1">
          <reference field="4294967294" count="1" selected="0">
            <x v="8"/>
          </reference>
        </references>
      </pivotArea>
    </chartFormat>
    <chartFormat chart="12" format="49">
      <pivotArea type="data" outline="0" fieldPosition="0">
        <references count="1">
          <reference field="4294967294" count="1" selected="0">
            <x v="9"/>
          </reference>
        </references>
      </pivotArea>
    </chartFormat>
    <chartFormat chart="12" format="50">
      <pivotArea type="data" outline="0" fieldPosition="0">
        <references count="1">
          <reference field="429496729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7740E-531E-40BD-92F0-A49B31087384}" name="PivotTable6" cacheId="1"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F3:G16" firstHeaderRow="1" firstDataRow="1" firstDataCol="1"/>
  <pivotFields count="13">
    <pivotField axis="axisRow" showAll="0">
      <items count="13">
        <item x="3"/>
        <item x="4"/>
        <item x="5"/>
        <item x="6"/>
        <item x="7"/>
        <item x="8"/>
        <item x="9"/>
        <item x="10"/>
        <item x="11"/>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Total" fld="12" baseField="0" baseItem="0"/>
  </dataFields>
  <chartFormats count="13">
    <chartFormat chart="13" format="42" series="1">
      <pivotArea type="data" outline="0" fieldPosition="0">
        <references count="1">
          <reference field="4294967294" count="1" selected="0">
            <x v="0"/>
          </reference>
        </references>
      </pivotArea>
    </chartFormat>
    <chartFormat chart="13" format="43">
      <pivotArea type="data" outline="0" fieldPosition="0">
        <references count="2">
          <reference field="4294967294" count="1" selected="0">
            <x v="0"/>
          </reference>
          <reference field="0" count="1" selected="0">
            <x v="0"/>
          </reference>
        </references>
      </pivotArea>
    </chartFormat>
    <chartFormat chart="13" format="44">
      <pivotArea type="data" outline="0" fieldPosition="0">
        <references count="2">
          <reference field="4294967294" count="1" selected="0">
            <x v="0"/>
          </reference>
          <reference field="0" count="1" selected="0">
            <x v="1"/>
          </reference>
        </references>
      </pivotArea>
    </chartFormat>
    <chartFormat chart="13" format="45">
      <pivotArea type="data" outline="0" fieldPosition="0">
        <references count="2">
          <reference field="4294967294" count="1" selected="0">
            <x v="0"/>
          </reference>
          <reference field="0" count="1" selected="0">
            <x v="2"/>
          </reference>
        </references>
      </pivotArea>
    </chartFormat>
    <chartFormat chart="13" format="46">
      <pivotArea type="data" outline="0" fieldPosition="0">
        <references count="2">
          <reference field="4294967294" count="1" selected="0">
            <x v="0"/>
          </reference>
          <reference field="0" count="1" selected="0">
            <x v="3"/>
          </reference>
        </references>
      </pivotArea>
    </chartFormat>
    <chartFormat chart="13" format="47">
      <pivotArea type="data" outline="0" fieldPosition="0">
        <references count="2">
          <reference field="4294967294" count="1" selected="0">
            <x v="0"/>
          </reference>
          <reference field="0" count="1" selected="0">
            <x v="4"/>
          </reference>
        </references>
      </pivotArea>
    </chartFormat>
    <chartFormat chart="13" format="48">
      <pivotArea type="data" outline="0" fieldPosition="0">
        <references count="2">
          <reference field="4294967294" count="1" selected="0">
            <x v="0"/>
          </reference>
          <reference field="0" count="1" selected="0">
            <x v="5"/>
          </reference>
        </references>
      </pivotArea>
    </chartFormat>
    <chartFormat chart="13" format="49">
      <pivotArea type="data" outline="0" fieldPosition="0">
        <references count="2">
          <reference field="4294967294" count="1" selected="0">
            <x v="0"/>
          </reference>
          <reference field="0" count="1" selected="0">
            <x v="6"/>
          </reference>
        </references>
      </pivotArea>
    </chartFormat>
    <chartFormat chart="13" format="50">
      <pivotArea type="data" outline="0" fieldPosition="0">
        <references count="2">
          <reference field="4294967294" count="1" selected="0">
            <x v="0"/>
          </reference>
          <reference field="0" count="1" selected="0">
            <x v="7"/>
          </reference>
        </references>
      </pivotArea>
    </chartFormat>
    <chartFormat chart="13" format="51">
      <pivotArea type="data" outline="0" fieldPosition="0">
        <references count="2">
          <reference field="4294967294" count="1" selected="0">
            <x v="0"/>
          </reference>
          <reference field="0" count="1" selected="0">
            <x v="8"/>
          </reference>
        </references>
      </pivotArea>
    </chartFormat>
    <chartFormat chart="13" format="52">
      <pivotArea type="data" outline="0" fieldPosition="0">
        <references count="2">
          <reference field="4294967294" count="1" selected="0">
            <x v="0"/>
          </reference>
          <reference field="0" count="1" selected="0">
            <x v="9"/>
          </reference>
        </references>
      </pivotArea>
    </chartFormat>
    <chartFormat chart="13" format="53">
      <pivotArea type="data" outline="0" fieldPosition="0">
        <references count="2">
          <reference field="4294967294" count="1" selected="0">
            <x v="0"/>
          </reference>
          <reference field="0" count="1" selected="0">
            <x v="10"/>
          </reference>
        </references>
      </pivotArea>
    </chartFormat>
    <chartFormat chart="13" format="54">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FC9345-464F-4EBE-8795-3EA9415AD43A}" sourceName="Month">
  <pivotTables>
    <pivotTable tabId="5" name="PivotTable5"/>
  </pivotTables>
  <data>
    <tabular pivotCacheId="1829669723">
      <items count="12">
        <i x="3"/>
        <i x="4"/>
        <i x="5"/>
        <i x="6"/>
        <i x="7"/>
        <i x="8"/>
        <i x="9" s="1"/>
        <i x="10"/>
        <i x="1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8A020761-77D8-4276-A978-391649AB6D54}" cache="Slicer_Month" caption="Month" style="SlicerStyleDark4" rowHeight="309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 /><Relationship Id="rId1" Type="http://schemas.openxmlformats.org/officeDocument/2006/relationships/pivotTable" Target="../pivotTables/pivotTable1.xml" /></Relationships>
</file>

<file path=xl/worksheets/_rels/sheet3.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0B8C9-3CA8-4DB3-A4AB-E11056FC487F}">
  <dimension ref="A3:G16"/>
  <sheetViews>
    <sheetView workbookViewId="0">
      <selection activeCell="A14" sqref="A14"/>
    </sheetView>
  </sheetViews>
  <sheetFormatPr defaultRowHeight="15" x14ac:dyDescent="0.2"/>
  <cols>
    <col min="1" max="1" width="27.3046875" bestFit="1" customWidth="1"/>
    <col min="2" max="2" width="4.03515625" bestFit="1" customWidth="1"/>
    <col min="6" max="6" width="12.5078125" bestFit="1" customWidth="1"/>
    <col min="7" max="7" width="11.703125" bestFit="1" customWidth="1"/>
    <col min="8" max="8" width="10.76171875" bestFit="1" customWidth="1"/>
  </cols>
  <sheetData>
    <row r="3" spans="1:7" x14ac:dyDescent="0.2">
      <c r="A3" s="10" t="s">
        <v>26</v>
      </c>
      <c r="F3" s="10" t="s">
        <v>35</v>
      </c>
      <c r="G3" t="s">
        <v>38</v>
      </c>
    </row>
    <row r="4" spans="1:7" x14ac:dyDescent="0.2">
      <c r="A4" s="11" t="s">
        <v>44</v>
      </c>
      <c r="B4" s="41">
        <v>0</v>
      </c>
      <c r="F4" s="11" t="s">
        <v>10</v>
      </c>
      <c r="G4" s="41">
        <v>66.5</v>
      </c>
    </row>
    <row r="5" spans="1:7" x14ac:dyDescent="0.2">
      <c r="A5" s="11" t="s">
        <v>45</v>
      </c>
      <c r="B5" s="41">
        <v>0</v>
      </c>
      <c r="F5" s="11" t="s">
        <v>11</v>
      </c>
      <c r="G5" s="41">
        <v>61.7</v>
      </c>
    </row>
    <row r="6" spans="1:7" x14ac:dyDescent="0.2">
      <c r="A6" s="11" t="s">
        <v>46</v>
      </c>
      <c r="B6" s="41">
        <v>0</v>
      </c>
      <c r="F6" s="11" t="s">
        <v>12</v>
      </c>
      <c r="G6" s="41">
        <v>70.900000000000006</v>
      </c>
    </row>
    <row r="7" spans="1:7" x14ac:dyDescent="0.2">
      <c r="A7" s="11" t="s">
        <v>47</v>
      </c>
      <c r="B7" s="41">
        <v>0</v>
      </c>
      <c r="F7" s="11" t="s">
        <v>13</v>
      </c>
      <c r="G7" s="41">
        <v>56.6</v>
      </c>
    </row>
    <row r="8" spans="1:7" x14ac:dyDescent="0.2">
      <c r="A8" s="11" t="s">
        <v>48</v>
      </c>
      <c r="B8" s="41">
        <v>10</v>
      </c>
      <c r="F8" s="11" t="s">
        <v>14</v>
      </c>
      <c r="G8" s="41">
        <v>47.5</v>
      </c>
    </row>
    <row r="9" spans="1:7" x14ac:dyDescent="0.2">
      <c r="A9" s="11" t="s">
        <v>49</v>
      </c>
      <c r="B9" s="41">
        <v>9</v>
      </c>
      <c r="F9" s="11" t="s">
        <v>15</v>
      </c>
      <c r="G9" s="41">
        <v>58.3</v>
      </c>
    </row>
    <row r="10" spans="1:7" x14ac:dyDescent="0.2">
      <c r="A10" s="11" t="s">
        <v>50</v>
      </c>
      <c r="B10" s="41">
        <v>5</v>
      </c>
      <c r="F10" s="11" t="s">
        <v>16</v>
      </c>
      <c r="G10" s="41">
        <v>40.1</v>
      </c>
    </row>
    <row r="11" spans="1:7" x14ac:dyDescent="0.2">
      <c r="A11" s="11" t="s">
        <v>51</v>
      </c>
      <c r="B11" s="41">
        <v>2.5</v>
      </c>
      <c r="F11" s="11" t="s">
        <v>17</v>
      </c>
      <c r="G11" s="41">
        <v>85</v>
      </c>
    </row>
    <row r="12" spans="1:7" x14ac:dyDescent="0.2">
      <c r="A12" s="11" t="s">
        <v>52</v>
      </c>
      <c r="B12" s="41">
        <v>0</v>
      </c>
      <c r="F12" s="11" t="s">
        <v>18</v>
      </c>
      <c r="G12" s="41">
        <v>58.5</v>
      </c>
    </row>
    <row r="13" spans="1:7" x14ac:dyDescent="0.2">
      <c r="A13" s="11" t="s">
        <v>53</v>
      </c>
      <c r="B13" s="41">
        <v>5.6999999999999993</v>
      </c>
      <c r="F13" s="11" t="s">
        <v>7</v>
      </c>
      <c r="G13" s="41">
        <v>58.9</v>
      </c>
    </row>
    <row r="14" spans="1:7" x14ac:dyDescent="0.2">
      <c r="A14" s="11" t="s">
        <v>54</v>
      </c>
      <c r="B14" s="41">
        <v>7.9</v>
      </c>
      <c r="F14" s="11" t="s">
        <v>8</v>
      </c>
      <c r="G14" s="41">
        <v>84</v>
      </c>
    </row>
    <row r="15" spans="1:7" x14ac:dyDescent="0.2">
      <c r="B15">
        <f>SUM(B4:B14)</f>
        <v>40.1</v>
      </c>
      <c r="F15" s="11" t="s">
        <v>9</v>
      </c>
      <c r="G15" s="41">
        <v>59.3</v>
      </c>
    </row>
    <row r="16" spans="1:7" x14ac:dyDescent="0.2">
      <c r="F16" s="11" t="s">
        <v>36</v>
      </c>
      <c r="G16" s="41">
        <v>747.3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DA4C-2E79-472B-814A-0031DBA82E11}">
  <dimension ref="A1:M15"/>
  <sheetViews>
    <sheetView workbookViewId="0">
      <selection activeCell="M1" sqref="M1"/>
    </sheetView>
  </sheetViews>
  <sheetFormatPr defaultColWidth="8.875" defaultRowHeight="15" x14ac:dyDescent="0.2"/>
  <cols>
    <col min="1" max="1" width="10.22265625" style="1" bestFit="1" customWidth="1"/>
    <col min="2" max="2" width="9.81640625" style="1" bestFit="1" customWidth="1"/>
    <col min="3" max="3" width="9.4140625" style="1" bestFit="1" customWidth="1"/>
    <col min="4" max="4" width="15.73828125" style="1" bestFit="1" customWidth="1"/>
    <col min="5" max="5" width="28.11328125" style="1" bestFit="1" customWidth="1"/>
    <col min="6" max="6" width="12.77734375" style="1" bestFit="1" customWidth="1"/>
    <col min="7" max="7" width="11.56640625" style="1" bestFit="1" customWidth="1"/>
    <col min="8" max="8" width="9.4140625" style="1" bestFit="1" customWidth="1"/>
    <col min="9" max="9" width="11.97265625" style="1" bestFit="1" customWidth="1"/>
    <col min="10" max="10" width="21.7890625" style="1" bestFit="1" customWidth="1"/>
    <col min="11" max="11" width="12.77734375" style="1" bestFit="1" customWidth="1"/>
    <col min="12" max="12" width="11.56640625" style="1" bestFit="1" customWidth="1"/>
    <col min="13" max="16384" width="8.875" style="1"/>
  </cols>
  <sheetData>
    <row r="1" spans="1:13" ht="14.45" customHeight="1" x14ac:dyDescent="0.2">
      <c r="A1" s="6" t="s">
        <v>20</v>
      </c>
      <c r="B1" s="3" t="s">
        <v>0</v>
      </c>
      <c r="C1" s="3" t="s">
        <v>1</v>
      </c>
      <c r="D1" s="3" t="s">
        <v>25</v>
      </c>
      <c r="E1" s="9" t="s">
        <v>23</v>
      </c>
      <c r="F1" s="3" t="s">
        <v>24</v>
      </c>
      <c r="G1" s="3" t="s">
        <v>2</v>
      </c>
      <c r="H1" s="3" t="s">
        <v>3</v>
      </c>
      <c r="I1" s="3" t="s">
        <v>4</v>
      </c>
      <c r="J1" s="9" t="s">
        <v>19</v>
      </c>
      <c r="K1" s="3" t="s">
        <v>5</v>
      </c>
      <c r="L1" s="3" t="s">
        <v>6</v>
      </c>
      <c r="M1" s="6" t="s">
        <v>37</v>
      </c>
    </row>
    <row r="2" spans="1:13" x14ac:dyDescent="0.2">
      <c r="A2" s="4" t="s">
        <v>7</v>
      </c>
      <c r="B2" s="2">
        <f ca="1">IF(Data!C3=0, 10, 0)</f>
        <v>10</v>
      </c>
      <c r="C2" s="2">
        <f ca="1">IF(Data!E3=0, 10, 0)</f>
        <v>10</v>
      </c>
      <c r="D2" s="2">
        <f ca="1">IF(Data!G3=0, 10, 0)</f>
        <v>10</v>
      </c>
      <c r="E2" s="2">
        <f ca="1">IF(Data!I3=0, 10, 0)</f>
        <v>10</v>
      </c>
      <c r="F2" s="2">
        <f ca="1">(Data!K3/Data!J3)*10</f>
        <v>8</v>
      </c>
      <c r="G2" s="2">
        <f ca="1">(Data!M3/Data!L3)*10</f>
        <v>9</v>
      </c>
      <c r="H2" s="2">
        <f ca="1">Data!O3/Data!N3*5</f>
        <v>0</v>
      </c>
      <c r="I2" s="2">
        <f ca="1">Data!Q3/Data!P3*5</f>
        <v>2.5</v>
      </c>
      <c r="J2" s="2">
        <f ca="1">Data!S3/Data!R3*10</f>
        <v>10</v>
      </c>
      <c r="K2" s="2">
        <f ca="1">Data!U3/Data!T3*10</f>
        <v>9.9</v>
      </c>
      <c r="L2" s="2">
        <f ca="1">Data!W3/Data!V3*10</f>
        <v>6</v>
      </c>
      <c r="M2" s="2">
        <f ca="1">SUM(B2:L2)</f>
        <v>85.4</v>
      </c>
    </row>
    <row r="3" spans="1:13" x14ac:dyDescent="0.2">
      <c r="A3" s="4" t="s">
        <v>8</v>
      </c>
      <c r="B3" s="2">
        <f ca="1">IF(Data!C4=0, 10, 0)</f>
        <v>10</v>
      </c>
      <c r="C3" s="2">
        <f ca="1">IF(Data!E4=0, 10, 0)</f>
        <v>10</v>
      </c>
      <c r="D3" s="2">
        <f ca="1">IF(Data!G4=0, 10, 0)</f>
        <v>0</v>
      </c>
      <c r="E3" s="2">
        <f ca="1">IF(Data!I4=0, 10, 0)</f>
        <v>0</v>
      </c>
      <c r="F3" s="2">
        <f ca="1">(Data!K4/Data!J4)*10</f>
        <v>9</v>
      </c>
      <c r="G3" s="2">
        <f ca="1">(Data!M4/Data!L4)*10</f>
        <v>8</v>
      </c>
      <c r="H3" s="2">
        <f ca="1">Data!O4/Data!N4*5</f>
        <v>0</v>
      </c>
      <c r="I3" s="2">
        <f ca="1">Data!Q4/Data!P4*5</f>
        <v>5</v>
      </c>
      <c r="J3" s="2">
        <f ca="1">Data!S4/Data!R4*10</f>
        <v>0</v>
      </c>
      <c r="K3" s="2">
        <f ca="1">Data!U4/Data!T4*10</f>
        <v>6.4</v>
      </c>
      <c r="L3" s="2">
        <f ca="1">Data!W4/Data!V4*10</f>
        <v>9.5</v>
      </c>
      <c r="M3" s="2">
        <f t="shared" ref="M3:M13" ca="1" si="0">SUM(B3:L3)</f>
        <v>57.9</v>
      </c>
    </row>
    <row r="4" spans="1:13" x14ac:dyDescent="0.2">
      <c r="A4" s="4" t="s">
        <v>9</v>
      </c>
      <c r="B4" s="2">
        <f ca="1">IF(Data!C5=0, 10, 0)</f>
        <v>10</v>
      </c>
      <c r="C4" s="2">
        <f ca="1">IF(Data!E5=0, 10, 0)</f>
        <v>0</v>
      </c>
      <c r="D4" s="2">
        <f ca="1">IF(Data!G5=0, 10, 0)</f>
        <v>10</v>
      </c>
      <c r="E4" s="2">
        <f ca="1">IF(Data!I5=0, 10, 0)</f>
        <v>10</v>
      </c>
      <c r="F4" s="2">
        <f ca="1">(Data!K5/Data!J5)*10</f>
        <v>10</v>
      </c>
      <c r="G4" s="2">
        <f ca="1">(Data!M5/Data!L5)*10</f>
        <v>10</v>
      </c>
      <c r="H4" s="2">
        <f ca="1">Data!O5/Data!N5*5</f>
        <v>5</v>
      </c>
      <c r="I4" s="2">
        <f ca="1">Data!Q5/Data!P5*5</f>
        <v>5</v>
      </c>
      <c r="J4" s="2">
        <f ca="1">Data!S5/Data!R5*10</f>
        <v>0</v>
      </c>
      <c r="K4" s="2">
        <f ca="1">Data!U5/Data!T5*10</f>
        <v>6.5</v>
      </c>
      <c r="L4" s="2">
        <f ca="1">Data!W5/Data!V5*10</f>
        <v>6</v>
      </c>
      <c r="M4" s="2">
        <f t="shared" ca="1" si="0"/>
        <v>72.5</v>
      </c>
    </row>
    <row r="5" spans="1:13" ht="14.45" customHeight="1" x14ac:dyDescent="0.2">
      <c r="A5" s="4" t="s">
        <v>10</v>
      </c>
      <c r="B5" s="2">
        <f ca="1">IF(Data!C6=0, 10, 0)</f>
        <v>0</v>
      </c>
      <c r="C5" s="2">
        <f ca="1">IF(Data!E6=0, 10, 0)</f>
        <v>0</v>
      </c>
      <c r="D5" s="2">
        <f ca="1">IF(Data!G6=0, 10, 0)</f>
        <v>0</v>
      </c>
      <c r="E5" s="2">
        <f ca="1">IF(Data!I6=0, 10, 0)</f>
        <v>0</v>
      </c>
      <c r="F5" s="2">
        <f ca="1">(Data!K6/Data!J6)*10</f>
        <v>9</v>
      </c>
      <c r="G5" s="2">
        <f ca="1">(Data!M6/Data!L6)*10</f>
        <v>8</v>
      </c>
      <c r="H5" s="2">
        <f ca="1">Data!O6/Data!N6*5</f>
        <v>5</v>
      </c>
      <c r="I5" s="2">
        <f ca="1">Data!Q6/Data!P6*5</f>
        <v>2.5</v>
      </c>
      <c r="J5" s="2">
        <f ca="1">Data!S6/Data!R6*10</f>
        <v>0</v>
      </c>
      <c r="K5" s="2">
        <f ca="1">Data!U6/Data!T6*10</f>
        <v>5.5</v>
      </c>
      <c r="L5" s="2">
        <f ca="1">Data!W6/Data!V6*10</f>
        <v>5.3000000000000007</v>
      </c>
      <c r="M5" s="2">
        <f t="shared" ca="1" si="0"/>
        <v>35.299999999999997</v>
      </c>
    </row>
    <row r="6" spans="1:13" x14ac:dyDescent="0.2">
      <c r="A6" s="4" t="s">
        <v>11</v>
      </c>
      <c r="B6" s="2">
        <f ca="1">IF(Data!C7=0, 10, 0)</f>
        <v>10</v>
      </c>
      <c r="C6" s="2">
        <f ca="1">IF(Data!E7=0, 10, 0)</f>
        <v>0</v>
      </c>
      <c r="D6" s="2">
        <f ca="1">IF(Data!G7=0, 10, 0)</f>
        <v>0</v>
      </c>
      <c r="E6" s="2">
        <f ca="1">IF(Data!I7=0, 10, 0)</f>
        <v>10</v>
      </c>
      <c r="F6" s="2">
        <f ca="1">(Data!K7/Data!J7)*10</f>
        <v>8</v>
      </c>
      <c r="G6" s="2">
        <f ca="1">(Data!M7/Data!L7)*10</f>
        <v>10</v>
      </c>
      <c r="H6" s="2">
        <f ca="1">Data!O7/Data!N7*5</f>
        <v>0</v>
      </c>
      <c r="I6" s="2">
        <f ca="1">Data!Q7/Data!P7*5</f>
        <v>5</v>
      </c>
      <c r="J6" s="2">
        <f ca="1">Data!S7/Data!R7*10</f>
        <v>0</v>
      </c>
      <c r="K6" s="2">
        <f ca="1">Data!U7/Data!T7*10</f>
        <v>9.6999999999999993</v>
      </c>
      <c r="L6" s="2">
        <f ca="1">Data!W7/Data!V7*10</f>
        <v>6.8000000000000007</v>
      </c>
      <c r="M6" s="2">
        <f t="shared" ca="1" si="0"/>
        <v>59.5</v>
      </c>
    </row>
    <row r="7" spans="1:13" x14ac:dyDescent="0.2">
      <c r="A7" s="4" t="s">
        <v>12</v>
      </c>
      <c r="B7" s="2">
        <f ca="1">IF(Data!C8=0, 10, 0)</f>
        <v>10</v>
      </c>
      <c r="C7" s="2">
        <f ca="1">IF(Data!E8=0, 10, 0)</f>
        <v>10</v>
      </c>
      <c r="D7" s="2">
        <f ca="1">IF(Data!G8=0, 10, 0)</f>
        <v>0</v>
      </c>
      <c r="E7" s="2">
        <f ca="1">IF(Data!I8=0, 10, 0)</f>
        <v>10</v>
      </c>
      <c r="F7" s="2">
        <f ca="1">(Data!K8/Data!J8)*10</f>
        <v>10</v>
      </c>
      <c r="G7" s="2">
        <f ca="1">(Data!M8/Data!L8)*10</f>
        <v>10</v>
      </c>
      <c r="H7" s="2">
        <f ca="1">Data!O8/Data!N8*5</f>
        <v>0</v>
      </c>
      <c r="I7" s="2">
        <f ca="1">Data!Q8/Data!P8*5</f>
        <v>2.5</v>
      </c>
      <c r="J7" s="2">
        <f ca="1">Data!S8/Data!R8*10</f>
        <v>10</v>
      </c>
      <c r="K7" s="2">
        <f ca="1">Data!U8/Data!T8*10</f>
        <v>6.2</v>
      </c>
      <c r="L7" s="2">
        <f ca="1">Data!W8/Data!V8*10</f>
        <v>5.3000000000000007</v>
      </c>
      <c r="M7" s="2">
        <f t="shared" ca="1" si="0"/>
        <v>74</v>
      </c>
    </row>
    <row r="8" spans="1:13" x14ac:dyDescent="0.2">
      <c r="A8" s="4" t="s">
        <v>13</v>
      </c>
      <c r="B8" s="2">
        <f ca="1">IF(Data!C9=0, 10, 0)</f>
        <v>0</v>
      </c>
      <c r="C8" s="2">
        <f ca="1">IF(Data!E9=0, 10, 0)</f>
        <v>0</v>
      </c>
      <c r="D8" s="2">
        <f ca="1">IF(Data!G9=0, 10, 0)</f>
        <v>0</v>
      </c>
      <c r="E8" s="2">
        <f ca="1">IF(Data!I9=0, 10, 0)</f>
        <v>0</v>
      </c>
      <c r="F8" s="2">
        <f ca="1">(Data!K9/Data!J9)*10</f>
        <v>10</v>
      </c>
      <c r="G8" s="2">
        <f ca="1">(Data!M9/Data!L9)*10</f>
        <v>9</v>
      </c>
      <c r="H8" s="2">
        <f ca="1">Data!O9/Data!N9*5</f>
        <v>0</v>
      </c>
      <c r="I8" s="2">
        <f ca="1">Data!Q9/Data!P9*5</f>
        <v>5</v>
      </c>
      <c r="J8" s="2">
        <f ca="1">Data!S9/Data!R9*10</f>
        <v>0</v>
      </c>
      <c r="K8" s="2">
        <f ca="1">Data!U9/Data!T9*10</f>
        <v>6.3</v>
      </c>
      <c r="L8" s="2">
        <f ca="1">Data!W9/Data!V9*10</f>
        <v>7.1</v>
      </c>
      <c r="M8" s="2">
        <f t="shared" ca="1" si="0"/>
        <v>37.4</v>
      </c>
    </row>
    <row r="9" spans="1:13" x14ac:dyDescent="0.2">
      <c r="A9" s="4" t="s">
        <v>14</v>
      </c>
      <c r="B9" s="2">
        <f ca="1">IF(Data!C10=0, 10, 0)</f>
        <v>0</v>
      </c>
      <c r="C9" s="2">
        <f ca="1">IF(Data!E10=0, 10, 0)</f>
        <v>0</v>
      </c>
      <c r="D9" s="2">
        <f ca="1">IF(Data!G10=0, 10, 0)</f>
        <v>10</v>
      </c>
      <c r="E9" s="2">
        <f ca="1">IF(Data!I10=0, 10, 0)</f>
        <v>10</v>
      </c>
      <c r="F9" s="2">
        <f ca="1">(Data!K10/Data!J10)*10</f>
        <v>9</v>
      </c>
      <c r="G9" s="2">
        <f ca="1">(Data!M10/Data!L10)*10</f>
        <v>9</v>
      </c>
      <c r="H9" s="2">
        <f ca="1">Data!O10/Data!N10*5</f>
        <v>5</v>
      </c>
      <c r="I9" s="2">
        <f ca="1">Data!Q10/Data!P10*5</f>
        <v>2.5</v>
      </c>
      <c r="J9" s="2">
        <f ca="1">Data!S10/Data!R10*10</f>
        <v>0</v>
      </c>
      <c r="K9" s="2">
        <f ca="1">Data!U10/Data!T10*10</f>
        <v>7.3</v>
      </c>
      <c r="L9" s="2">
        <f ca="1">Data!W10/Data!V10*10</f>
        <v>5.2</v>
      </c>
      <c r="M9" s="2">
        <f t="shared" ca="1" si="0"/>
        <v>58</v>
      </c>
    </row>
    <row r="10" spans="1:13" x14ac:dyDescent="0.2">
      <c r="A10" s="4" t="s">
        <v>15</v>
      </c>
      <c r="B10" s="2">
        <f ca="1">IF(Data!C11=0, 10, 0)</f>
        <v>10</v>
      </c>
      <c r="C10" s="2">
        <f ca="1">IF(Data!E11=0, 10, 0)</f>
        <v>10</v>
      </c>
      <c r="D10" s="2">
        <f ca="1">IF(Data!G11=0, 10, 0)</f>
        <v>10</v>
      </c>
      <c r="E10" s="2">
        <f ca="1">IF(Data!I11=0, 10, 0)</f>
        <v>0</v>
      </c>
      <c r="F10" s="2">
        <f ca="1">(Data!K11/Data!J11)*10</f>
        <v>10</v>
      </c>
      <c r="G10" s="2">
        <f ca="1">(Data!M11/Data!L11)*10</f>
        <v>8</v>
      </c>
      <c r="H10" s="2">
        <f ca="1">Data!O11/Data!N11*5</f>
        <v>0</v>
      </c>
      <c r="I10" s="2">
        <f ca="1">Data!Q11/Data!P11*5</f>
        <v>2.5</v>
      </c>
      <c r="J10" s="2">
        <f ca="1">Data!S11/Data!R11*10</f>
        <v>0</v>
      </c>
      <c r="K10" s="2">
        <f ca="1">Data!U11/Data!T11*10</f>
        <v>6.4</v>
      </c>
      <c r="L10" s="2">
        <f ca="1">Data!W11/Data!V11*10</f>
        <v>6.1</v>
      </c>
      <c r="M10" s="2">
        <f t="shared" ca="1" si="0"/>
        <v>63</v>
      </c>
    </row>
    <row r="11" spans="1:13" x14ac:dyDescent="0.2">
      <c r="A11" s="4" t="s">
        <v>16</v>
      </c>
      <c r="B11" s="2">
        <f ca="1">IF(Data!C12=0, 10, 0)</f>
        <v>10</v>
      </c>
      <c r="C11" s="2">
        <f ca="1">IF(Data!E12=0, 10, 0)</f>
        <v>0</v>
      </c>
      <c r="D11" s="2">
        <f ca="1">IF(Data!G12=0, 10, 0)</f>
        <v>10</v>
      </c>
      <c r="E11" s="2">
        <f ca="1">IF(Data!I12=0, 10, 0)</f>
        <v>10</v>
      </c>
      <c r="F11" s="2">
        <f ca="1">(Data!K12/Data!J12)*10</f>
        <v>9</v>
      </c>
      <c r="G11" s="2">
        <f ca="1">(Data!M12/Data!L12)*10</f>
        <v>9</v>
      </c>
      <c r="H11" s="2">
        <f ca="1">Data!O12/Data!N12*5</f>
        <v>5</v>
      </c>
      <c r="I11" s="2">
        <f ca="1">Data!Q12/Data!P12*5</f>
        <v>5</v>
      </c>
      <c r="J11" s="2">
        <f ca="1">Data!S12/Data!R12*10</f>
        <v>10</v>
      </c>
      <c r="K11" s="2">
        <f ca="1">Data!U12/Data!T12*10</f>
        <v>5.3000000000000007</v>
      </c>
      <c r="L11" s="2">
        <f ca="1">Data!W12/Data!V12*10</f>
        <v>9.8000000000000007</v>
      </c>
      <c r="M11" s="2">
        <f t="shared" ca="1" si="0"/>
        <v>83.1</v>
      </c>
    </row>
    <row r="12" spans="1:13" x14ac:dyDescent="0.2">
      <c r="A12" s="4" t="s">
        <v>17</v>
      </c>
      <c r="B12" s="2">
        <f ca="1">IF(Data!C13=0, 10, 0)</f>
        <v>0</v>
      </c>
      <c r="C12" s="2">
        <f ca="1">IF(Data!E13=0, 10, 0)</f>
        <v>10</v>
      </c>
      <c r="D12" s="2">
        <f ca="1">IF(Data!G13=0, 10, 0)</f>
        <v>10</v>
      </c>
      <c r="E12" s="2">
        <f ca="1">IF(Data!I13=0, 10, 0)</f>
        <v>0</v>
      </c>
      <c r="F12" s="2">
        <f ca="1">(Data!K13/Data!J13)*10</f>
        <v>8</v>
      </c>
      <c r="G12" s="2">
        <f ca="1">(Data!M13/Data!L13)*10</f>
        <v>9</v>
      </c>
      <c r="H12" s="2">
        <f ca="1">Data!O13/Data!N13*5</f>
        <v>0</v>
      </c>
      <c r="I12" s="2">
        <f ca="1">Data!Q13/Data!P13*5</f>
        <v>2.5</v>
      </c>
      <c r="J12" s="2">
        <f ca="1">Data!S13/Data!R13*10</f>
        <v>0</v>
      </c>
      <c r="K12" s="2">
        <f ca="1">Data!U13/Data!T13*10</f>
        <v>7.4</v>
      </c>
      <c r="L12" s="2">
        <f ca="1">Data!W13/Data!V13*10</f>
        <v>8.8000000000000007</v>
      </c>
      <c r="M12" s="2">
        <f t="shared" ca="1" si="0"/>
        <v>55.7</v>
      </c>
    </row>
    <row r="13" spans="1:13" x14ac:dyDescent="0.2">
      <c r="A13" s="4" t="s">
        <v>18</v>
      </c>
      <c r="B13" s="2">
        <f ca="1">IF(Data!C14=0, 10, 0)</f>
        <v>0</v>
      </c>
      <c r="C13" s="2">
        <f ca="1">IF(Data!E14=0, 10, 0)</f>
        <v>0</v>
      </c>
      <c r="D13" s="2">
        <f ca="1">IF(Data!G14=0, 10, 0)</f>
        <v>10</v>
      </c>
      <c r="E13" s="2">
        <f ca="1">IF(Data!I14=0, 10, 0)</f>
        <v>10</v>
      </c>
      <c r="F13" s="2">
        <f ca="1">(Data!K14/Data!J14)*10</f>
        <v>10</v>
      </c>
      <c r="G13" s="2">
        <f ca="1">(Data!M14/Data!L14)*10</f>
        <v>8</v>
      </c>
      <c r="H13" s="2">
        <f ca="1">Data!O14/Data!N14*5</f>
        <v>5</v>
      </c>
      <c r="I13" s="2">
        <f ca="1">Data!Q14/Data!P14*5</f>
        <v>2.5</v>
      </c>
      <c r="J13" s="2">
        <f ca="1">Data!S14/Data!R14*10</f>
        <v>0</v>
      </c>
      <c r="K13" s="2">
        <f ca="1">Data!U14/Data!T14*10</f>
        <v>8.4</v>
      </c>
      <c r="L13" s="2">
        <f ca="1">Data!W14/Data!V14*10</f>
        <v>9</v>
      </c>
      <c r="M13" s="2">
        <f t="shared" ca="1" si="0"/>
        <v>62.9</v>
      </c>
    </row>
    <row r="15" spans="1:13" ht="14.4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06F7-94DF-4C5B-A97C-E2F9B44AE0D9}">
  <dimension ref="B2:Z32"/>
  <sheetViews>
    <sheetView showGridLines="0" showRowColHeaders="0" tabSelected="1" workbookViewId="0">
      <selection activeCell="AC12" sqref="AC12"/>
      <extLst>
        <ext xmlns:xlsdti="http://schemas.microsoft.com/office/spreadsheetml/2023/showDataTypeIcons" uri="{77bfe23e-c014-4d31-8a63-9c772dbf06b6}">
          <xlsdti:showDataTypeIcons visible="0"/>
        </ext>
      </extLst>
    </sheetView>
  </sheetViews>
  <sheetFormatPr defaultRowHeight="15" x14ac:dyDescent="0.2"/>
  <cols>
    <col min="2" max="2" width="1.8828125" customWidth="1"/>
    <col min="6" max="6" width="2.82421875" customWidth="1"/>
    <col min="7" max="7" width="2.015625" customWidth="1"/>
    <col min="11" max="11" width="1.20703125" customWidth="1"/>
    <col min="12" max="12" width="8.33984375" customWidth="1"/>
    <col min="15" max="15" width="2.015625" customWidth="1"/>
    <col min="16" max="16" width="1.34375" customWidth="1"/>
    <col min="17" max="17" width="12.375" customWidth="1"/>
    <col min="19" max="19" width="11.1640625" customWidth="1"/>
    <col min="20" max="21" width="8.875" customWidth="1"/>
    <col min="26" max="26" width="2.15234375" customWidth="1"/>
  </cols>
  <sheetData>
    <row r="2" spans="2:26" ht="9.6" customHeight="1" x14ac:dyDescent="0.2">
      <c r="B2" s="22"/>
      <c r="C2" s="22"/>
      <c r="D2" s="22"/>
      <c r="E2" s="22"/>
      <c r="F2" s="22"/>
      <c r="G2" s="22"/>
      <c r="H2" s="22"/>
      <c r="I2" s="22"/>
      <c r="J2" s="22"/>
      <c r="K2" s="22"/>
      <c r="L2" s="22"/>
      <c r="M2" s="22"/>
      <c r="N2" s="22"/>
      <c r="O2" s="22"/>
      <c r="P2" s="22"/>
      <c r="Q2" s="22"/>
      <c r="R2" s="22"/>
      <c r="S2" s="22"/>
      <c r="T2" s="22"/>
      <c r="U2" s="22"/>
      <c r="V2" s="22"/>
      <c r="W2" s="22"/>
      <c r="X2" s="22"/>
      <c r="Y2" s="22"/>
      <c r="Z2" s="22"/>
    </row>
    <row r="3" spans="2:26" ht="14.45" customHeight="1" x14ac:dyDescent="0.2">
      <c r="B3" s="22"/>
      <c r="C3" s="42" t="s">
        <v>27</v>
      </c>
      <c r="D3" s="42"/>
      <c r="E3" s="42"/>
      <c r="F3" s="42"/>
      <c r="G3" s="42"/>
      <c r="H3" s="42"/>
      <c r="I3" s="42"/>
      <c r="J3" s="42"/>
      <c r="K3" s="42"/>
      <c r="L3" s="42"/>
      <c r="M3" s="42"/>
      <c r="N3" s="42"/>
      <c r="O3" s="42"/>
      <c r="P3" s="42"/>
      <c r="Q3" s="42"/>
      <c r="R3" s="42"/>
      <c r="S3" s="42"/>
      <c r="T3" s="42"/>
      <c r="U3" s="42"/>
      <c r="V3" s="42"/>
      <c r="W3" s="42"/>
      <c r="X3" s="42"/>
      <c r="Y3" s="42"/>
      <c r="Z3" s="22"/>
    </row>
    <row r="4" spans="2:26" ht="14.45" customHeight="1" x14ac:dyDescent="0.2">
      <c r="B4" s="22"/>
      <c r="C4" s="42"/>
      <c r="D4" s="42"/>
      <c r="E4" s="42"/>
      <c r="F4" s="42"/>
      <c r="G4" s="42"/>
      <c r="H4" s="42"/>
      <c r="I4" s="42"/>
      <c r="J4" s="42"/>
      <c r="K4" s="42"/>
      <c r="L4" s="42"/>
      <c r="M4" s="42"/>
      <c r="N4" s="42"/>
      <c r="O4" s="42"/>
      <c r="P4" s="42"/>
      <c r="Q4" s="42"/>
      <c r="R4" s="42"/>
      <c r="S4" s="42"/>
      <c r="T4" s="42"/>
      <c r="U4" s="42"/>
      <c r="V4" s="42"/>
      <c r="W4" s="42"/>
      <c r="X4" s="42"/>
      <c r="Y4" s="42"/>
      <c r="Z4" s="22"/>
    </row>
    <row r="5" spans="2:26" ht="14.45" customHeight="1" x14ac:dyDescent="0.2">
      <c r="B5" s="22"/>
      <c r="C5" s="42"/>
      <c r="D5" s="42"/>
      <c r="E5" s="42"/>
      <c r="F5" s="42"/>
      <c r="G5" s="42"/>
      <c r="H5" s="42"/>
      <c r="I5" s="42"/>
      <c r="J5" s="42"/>
      <c r="K5" s="42"/>
      <c r="L5" s="42"/>
      <c r="M5" s="42"/>
      <c r="N5" s="42"/>
      <c r="O5" s="42"/>
      <c r="P5" s="42"/>
      <c r="Q5" s="42"/>
      <c r="R5" s="42"/>
      <c r="S5" s="42"/>
      <c r="T5" s="42"/>
      <c r="U5" s="42"/>
      <c r="V5" s="42"/>
      <c r="W5" s="42"/>
      <c r="X5" s="42"/>
      <c r="Y5" s="42"/>
      <c r="Z5" s="22"/>
    </row>
    <row r="6" spans="2:26" ht="6.6" customHeight="1" x14ac:dyDescent="0.2">
      <c r="B6" s="22"/>
      <c r="C6" s="22"/>
      <c r="D6" s="22"/>
      <c r="E6" s="22"/>
      <c r="F6" s="22"/>
      <c r="G6" s="22"/>
      <c r="H6" s="22"/>
      <c r="I6" s="22"/>
      <c r="J6" s="22"/>
      <c r="K6" s="22"/>
      <c r="L6" s="22"/>
      <c r="M6" s="22"/>
      <c r="N6" s="22"/>
      <c r="O6" s="22"/>
      <c r="P6" s="22"/>
      <c r="Q6" s="22"/>
      <c r="R6" s="22"/>
      <c r="S6" s="22"/>
      <c r="T6" s="22"/>
      <c r="U6" s="22"/>
      <c r="V6" s="22"/>
      <c r="W6" s="22"/>
      <c r="X6" s="22"/>
      <c r="Y6" s="22"/>
      <c r="Z6" s="22"/>
    </row>
    <row r="7" spans="2:26" ht="14.45" customHeight="1" x14ac:dyDescent="0.2">
      <c r="B7" s="22"/>
      <c r="C7" s="22"/>
      <c r="D7" s="22"/>
      <c r="E7" s="22"/>
      <c r="F7" s="22"/>
      <c r="G7" s="43" t="s">
        <v>39</v>
      </c>
      <c r="H7" s="43"/>
      <c r="I7" s="43"/>
      <c r="J7" s="43"/>
      <c r="K7" s="22"/>
      <c r="L7" s="43" t="s">
        <v>40</v>
      </c>
      <c r="M7" s="43"/>
      <c r="N7" s="43"/>
      <c r="O7" s="43"/>
      <c r="P7" s="22"/>
      <c r="Q7" s="23"/>
      <c r="R7" s="23"/>
      <c r="S7" s="23"/>
      <c r="T7" s="23"/>
      <c r="U7" s="23"/>
      <c r="V7" s="23"/>
      <c r="W7" s="22"/>
      <c r="X7" s="22"/>
      <c r="Y7" s="22"/>
      <c r="Z7" s="22"/>
    </row>
    <row r="8" spans="2:26" ht="14.45" customHeight="1" x14ac:dyDescent="0.2">
      <c r="B8" s="22"/>
      <c r="C8" s="22"/>
      <c r="D8" s="22"/>
      <c r="E8" s="22"/>
      <c r="F8" s="22"/>
      <c r="G8" s="43"/>
      <c r="H8" s="43"/>
      <c r="I8" s="43"/>
      <c r="J8" s="43"/>
      <c r="K8" s="22"/>
      <c r="L8" s="43"/>
      <c r="M8" s="43"/>
      <c r="N8" s="43"/>
      <c r="O8" s="43"/>
      <c r="P8" s="22"/>
      <c r="Q8" s="23"/>
      <c r="R8" s="23"/>
      <c r="S8" s="23"/>
      <c r="T8" s="23"/>
      <c r="U8" s="23"/>
      <c r="V8" s="23"/>
      <c r="W8" s="22"/>
      <c r="X8" s="22"/>
      <c r="Y8" s="22"/>
      <c r="Z8" s="22"/>
    </row>
    <row r="9" spans="2:26" ht="14.45" customHeight="1" x14ac:dyDescent="0.2">
      <c r="B9" s="22"/>
      <c r="C9" s="22"/>
      <c r="D9" s="22"/>
      <c r="E9" s="22"/>
      <c r="F9" s="22"/>
      <c r="G9" s="44">
        <v>100</v>
      </c>
      <c r="H9" s="44"/>
      <c r="I9" s="44"/>
      <c r="J9" s="44"/>
      <c r="K9" s="22"/>
      <c r="L9" s="44">
        <f>Analysis!B15</f>
        <v>40.1</v>
      </c>
      <c r="M9" s="44"/>
      <c r="N9" s="44"/>
      <c r="O9" s="44"/>
      <c r="P9" s="22"/>
      <c r="Q9" s="24"/>
      <c r="R9" s="24"/>
      <c r="S9" s="24"/>
      <c r="T9" s="24"/>
      <c r="U9" s="24"/>
      <c r="V9" s="24"/>
      <c r="W9" s="22"/>
      <c r="X9" s="22"/>
      <c r="Y9" s="22"/>
      <c r="Z9" s="22"/>
    </row>
    <row r="10" spans="2:26" ht="14.45" customHeight="1" x14ac:dyDescent="0.2">
      <c r="B10" s="22"/>
      <c r="C10" s="22"/>
      <c r="D10" s="22"/>
      <c r="E10" s="22"/>
      <c r="F10" s="22"/>
      <c r="G10" s="44"/>
      <c r="H10" s="44"/>
      <c r="I10" s="44"/>
      <c r="J10" s="44"/>
      <c r="K10" s="22"/>
      <c r="L10" s="44"/>
      <c r="M10" s="44"/>
      <c r="N10" s="44"/>
      <c r="O10" s="44"/>
      <c r="P10" s="22"/>
      <c r="Q10" s="25"/>
      <c r="R10" s="25"/>
      <c r="S10" s="25"/>
      <c r="T10" s="25"/>
      <c r="U10" s="26"/>
      <c r="V10" s="26"/>
      <c r="W10" s="22"/>
      <c r="X10" s="22"/>
      <c r="Y10" s="22"/>
      <c r="Z10" s="22"/>
    </row>
    <row r="11" spans="2:26" ht="14.45" customHeight="1" x14ac:dyDescent="0.2">
      <c r="B11" s="22"/>
      <c r="C11" s="22"/>
      <c r="D11" s="22"/>
      <c r="E11" s="22"/>
      <c r="F11" s="22"/>
      <c r="G11" s="44"/>
      <c r="H11" s="44"/>
      <c r="I11" s="44"/>
      <c r="J11" s="44"/>
      <c r="K11" s="22"/>
      <c r="L11" s="44"/>
      <c r="M11" s="44"/>
      <c r="N11" s="44"/>
      <c r="O11" s="44"/>
      <c r="P11" s="22"/>
      <c r="Q11" s="27"/>
      <c r="R11" s="27"/>
      <c r="S11" s="28"/>
      <c r="T11" s="28"/>
      <c r="U11" s="24"/>
      <c r="V11" s="24"/>
      <c r="W11" s="22"/>
      <c r="X11" s="22"/>
      <c r="Y11" s="22"/>
      <c r="Z11" s="22"/>
    </row>
    <row r="12" spans="2:26" ht="14.45" customHeight="1" x14ac:dyDescent="0.2">
      <c r="B12" s="22"/>
      <c r="C12" s="22"/>
      <c r="D12" s="22"/>
      <c r="E12" s="22"/>
      <c r="F12" s="22"/>
      <c r="G12" s="44"/>
      <c r="H12" s="44"/>
      <c r="I12" s="44"/>
      <c r="J12" s="44"/>
      <c r="K12" s="22"/>
      <c r="L12" s="44"/>
      <c r="M12" s="44"/>
      <c r="N12" s="44"/>
      <c r="O12" s="44"/>
      <c r="P12" s="22"/>
      <c r="Q12" s="25"/>
      <c r="R12" s="25"/>
      <c r="S12" s="29"/>
      <c r="T12" s="29"/>
      <c r="U12" s="26"/>
      <c r="V12" s="26"/>
      <c r="W12" s="22"/>
      <c r="X12" s="22"/>
      <c r="Y12" s="22"/>
      <c r="Z12" s="22"/>
    </row>
    <row r="13" spans="2:26" ht="7.9" customHeight="1" x14ac:dyDescent="0.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2:26" x14ac:dyDescent="0.2">
      <c r="B14" s="22"/>
      <c r="C14" s="22"/>
      <c r="D14" s="22"/>
      <c r="E14" s="22"/>
      <c r="F14" s="22"/>
      <c r="G14" s="30"/>
      <c r="H14" s="31"/>
      <c r="I14" s="31"/>
      <c r="J14" s="31"/>
      <c r="K14" s="31"/>
      <c r="L14" s="31"/>
      <c r="M14" s="31"/>
      <c r="N14" s="31"/>
      <c r="O14" s="32"/>
      <c r="P14" s="22"/>
      <c r="Q14" s="22"/>
      <c r="R14" s="22"/>
      <c r="S14" s="22"/>
      <c r="T14" s="22"/>
      <c r="U14" s="22"/>
      <c r="V14" s="22"/>
      <c r="W14" s="22"/>
      <c r="X14" s="22"/>
      <c r="Y14" s="22"/>
      <c r="Z14" s="22"/>
    </row>
    <row r="15" spans="2:26" x14ac:dyDescent="0.2">
      <c r="B15" s="22"/>
      <c r="C15" s="22"/>
      <c r="D15" s="22"/>
      <c r="E15" s="22"/>
      <c r="F15" s="22"/>
      <c r="G15" s="33"/>
      <c r="H15" s="34"/>
      <c r="I15" s="34"/>
      <c r="J15" s="34"/>
      <c r="K15" s="34"/>
      <c r="L15" s="34"/>
      <c r="M15" s="34"/>
      <c r="N15" s="34"/>
      <c r="O15" s="35"/>
      <c r="P15" s="22"/>
      <c r="Q15" s="22"/>
      <c r="R15" s="22"/>
      <c r="S15" s="22"/>
      <c r="T15" s="22"/>
      <c r="U15" s="22"/>
      <c r="V15" s="22"/>
      <c r="W15" s="22"/>
      <c r="X15" s="22"/>
      <c r="Y15" s="22"/>
      <c r="Z15" s="22"/>
    </row>
    <row r="16" spans="2:26" x14ac:dyDescent="0.2">
      <c r="B16" s="22"/>
      <c r="C16" s="22"/>
      <c r="D16" s="22"/>
      <c r="E16" s="22"/>
      <c r="F16" s="22"/>
      <c r="G16" s="33"/>
      <c r="H16" s="34"/>
      <c r="I16" s="34"/>
      <c r="J16" s="34"/>
      <c r="K16" s="34"/>
      <c r="L16" s="34"/>
      <c r="M16" s="34"/>
      <c r="N16" s="34"/>
      <c r="O16" s="35"/>
      <c r="P16" s="22"/>
      <c r="Q16" s="22"/>
      <c r="R16" s="22"/>
      <c r="S16" s="22"/>
      <c r="T16" s="22"/>
      <c r="U16" s="22"/>
      <c r="V16" s="22"/>
      <c r="W16" s="22"/>
      <c r="X16" s="22"/>
      <c r="Y16" s="22"/>
      <c r="Z16" s="22"/>
    </row>
    <row r="17" spans="2:26" x14ac:dyDescent="0.2">
      <c r="B17" s="22"/>
      <c r="C17" s="22"/>
      <c r="D17" s="22"/>
      <c r="E17" s="22"/>
      <c r="F17" s="22"/>
      <c r="G17" s="33"/>
      <c r="H17" s="34"/>
      <c r="I17" s="34"/>
      <c r="J17" s="34"/>
      <c r="K17" s="34"/>
      <c r="L17" s="34"/>
      <c r="M17" s="34"/>
      <c r="N17" s="34"/>
      <c r="O17" s="35"/>
      <c r="P17" s="22"/>
      <c r="Q17" s="22"/>
      <c r="R17" s="22"/>
      <c r="S17" s="22"/>
      <c r="T17" s="22"/>
      <c r="U17" s="22"/>
      <c r="V17" s="22"/>
      <c r="W17" s="22"/>
      <c r="X17" s="22"/>
      <c r="Y17" s="22"/>
      <c r="Z17" s="22"/>
    </row>
    <row r="18" spans="2:26" x14ac:dyDescent="0.2">
      <c r="B18" s="22"/>
      <c r="C18" s="22"/>
      <c r="D18" s="22"/>
      <c r="E18" s="22"/>
      <c r="F18" s="22"/>
      <c r="G18" s="33"/>
      <c r="H18" s="34"/>
      <c r="I18" s="34"/>
      <c r="J18" s="34"/>
      <c r="K18" s="34"/>
      <c r="L18" s="34"/>
      <c r="M18" s="34"/>
      <c r="N18" s="34"/>
      <c r="O18" s="35"/>
      <c r="P18" s="22"/>
      <c r="Q18" s="27"/>
      <c r="R18" s="27"/>
      <c r="S18" s="27"/>
      <c r="T18" s="22"/>
      <c r="U18" s="22"/>
      <c r="V18" s="22"/>
      <c r="W18" s="22"/>
      <c r="X18" s="22"/>
      <c r="Y18" s="22"/>
      <c r="Z18" s="22"/>
    </row>
    <row r="19" spans="2:26" x14ac:dyDescent="0.2">
      <c r="B19" s="22"/>
      <c r="C19" s="22"/>
      <c r="D19" s="22"/>
      <c r="E19" s="22"/>
      <c r="F19" s="22"/>
      <c r="G19" s="33"/>
      <c r="H19" s="34"/>
      <c r="I19" s="34"/>
      <c r="J19" s="34"/>
      <c r="K19" s="34"/>
      <c r="L19" s="34"/>
      <c r="M19" s="34"/>
      <c r="N19" s="34"/>
      <c r="O19" s="35"/>
      <c r="P19" s="22"/>
      <c r="Q19" s="27"/>
      <c r="R19" s="27"/>
      <c r="S19" s="27"/>
      <c r="T19" s="22"/>
      <c r="U19" s="22"/>
      <c r="V19" s="22"/>
      <c r="W19" s="22"/>
      <c r="X19" s="22"/>
      <c r="Y19" s="22"/>
      <c r="Z19" s="22"/>
    </row>
    <row r="20" spans="2:26" x14ac:dyDescent="0.2">
      <c r="B20" s="22"/>
      <c r="C20" s="22"/>
      <c r="D20" s="22"/>
      <c r="E20" s="22"/>
      <c r="F20" s="22"/>
      <c r="G20" s="33"/>
      <c r="H20" s="34"/>
      <c r="I20" s="34"/>
      <c r="J20" s="34"/>
      <c r="K20" s="34"/>
      <c r="L20" s="34"/>
      <c r="M20" s="34"/>
      <c r="N20" s="34"/>
      <c r="O20" s="35"/>
      <c r="P20" s="22"/>
      <c r="Q20" s="27"/>
      <c r="R20" s="27"/>
      <c r="S20" s="27"/>
      <c r="T20" s="22"/>
      <c r="U20" s="22"/>
      <c r="V20" s="22"/>
      <c r="W20" s="22"/>
      <c r="X20" s="22"/>
      <c r="Y20" s="22"/>
      <c r="Z20" s="22"/>
    </row>
    <row r="21" spans="2:26" x14ac:dyDescent="0.2">
      <c r="B21" s="22"/>
      <c r="C21" s="22"/>
      <c r="D21" s="22"/>
      <c r="E21" s="22"/>
      <c r="F21" s="22"/>
      <c r="G21" s="33"/>
      <c r="H21" s="34"/>
      <c r="I21" s="34"/>
      <c r="J21" s="34"/>
      <c r="K21" s="34"/>
      <c r="L21" s="34"/>
      <c r="M21" s="34"/>
      <c r="N21" s="34"/>
      <c r="O21" s="35"/>
      <c r="P21" s="22"/>
      <c r="Q21" s="27"/>
      <c r="R21" s="27"/>
      <c r="S21" s="27"/>
      <c r="T21" s="22"/>
      <c r="U21" s="22"/>
      <c r="V21" s="22"/>
      <c r="W21" s="22"/>
      <c r="X21" s="22"/>
      <c r="Y21" s="22"/>
      <c r="Z21" s="22"/>
    </row>
    <row r="22" spans="2:26" x14ac:dyDescent="0.2">
      <c r="B22" s="22"/>
      <c r="C22" s="22"/>
      <c r="D22" s="22"/>
      <c r="E22" s="22"/>
      <c r="F22" s="22"/>
      <c r="G22" s="33"/>
      <c r="H22" s="34"/>
      <c r="I22" s="34"/>
      <c r="J22" s="34"/>
      <c r="K22" s="34"/>
      <c r="L22" s="34"/>
      <c r="M22" s="34"/>
      <c r="N22" s="34"/>
      <c r="O22" s="35"/>
      <c r="P22" s="22"/>
      <c r="Q22" s="27"/>
      <c r="R22" s="27"/>
      <c r="S22" s="27"/>
      <c r="T22" s="22"/>
      <c r="U22" s="22"/>
      <c r="V22" s="22"/>
      <c r="W22" s="22"/>
      <c r="X22" s="22"/>
      <c r="Y22" s="22"/>
      <c r="Z22" s="22"/>
    </row>
    <row r="23" spans="2:26" x14ac:dyDescent="0.2">
      <c r="B23" s="22"/>
      <c r="C23" s="22"/>
      <c r="D23" s="22"/>
      <c r="E23" s="22"/>
      <c r="F23" s="22"/>
      <c r="G23" s="33"/>
      <c r="H23" s="34"/>
      <c r="I23" s="34"/>
      <c r="J23" s="34"/>
      <c r="K23" s="34"/>
      <c r="L23" s="34"/>
      <c r="M23" s="34"/>
      <c r="N23" s="34"/>
      <c r="O23" s="35"/>
      <c r="P23" s="22"/>
      <c r="Q23" s="22"/>
      <c r="R23" s="22"/>
      <c r="S23" s="22"/>
      <c r="T23" s="22"/>
      <c r="U23" s="22"/>
      <c r="V23" s="22"/>
      <c r="W23" s="22"/>
      <c r="X23" s="22"/>
      <c r="Y23" s="22"/>
      <c r="Z23" s="22"/>
    </row>
    <row r="24" spans="2:26" ht="14.45" customHeight="1" x14ac:dyDescent="0.2">
      <c r="B24" s="22"/>
      <c r="C24" s="22"/>
      <c r="D24" s="22"/>
      <c r="E24" s="22"/>
      <c r="F24" s="22"/>
      <c r="G24" s="36"/>
      <c r="H24" s="37"/>
      <c r="I24" s="37"/>
      <c r="J24" s="37"/>
      <c r="K24" s="37"/>
      <c r="L24" s="37"/>
      <c r="M24" s="37"/>
      <c r="N24" s="37"/>
      <c r="O24" s="35"/>
      <c r="P24" s="22"/>
      <c r="Q24" s="22"/>
      <c r="R24" s="22"/>
      <c r="S24" s="22"/>
      <c r="T24" s="22"/>
      <c r="U24" s="22"/>
      <c r="V24" s="22"/>
      <c r="W24" s="22"/>
      <c r="X24" s="22"/>
      <c r="Y24" s="22"/>
      <c r="Z24" s="22"/>
    </row>
    <row r="25" spans="2:26" ht="14.45" customHeight="1" x14ac:dyDescent="0.2">
      <c r="B25" s="22"/>
      <c r="C25" s="22"/>
      <c r="D25" s="22"/>
      <c r="E25" s="22"/>
      <c r="F25" s="22"/>
      <c r="G25" s="36"/>
      <c r="H25" s="37"/>
      <c r="I25" s="37"/>
      <c r="J25" s="37"/>
      <c r="K25" s="37"/>
      <c r="L25" s="37"/>
      <c r="M25" s="37"/>
      <c r="N25" s="37"/>
      <c r="O25" s="35"/>
      <c r="P25" s="22"/>
      <c r="Q25" s="22"/>
      <c r="R25" s="22"/>
      <c r="S25" s="22"/>
      <c r="T25" s="22"/>
      <c r="U25" s="22"/>
      <c r="V25" s="22"/>
      <c r="W25" s="22"/>
      <c r="X25" s="22"/>
      <c r="Y25" s="22"/>
      <c r="Z25" s="22"/>
    </row>
    <row r="26" spans="2:26" ht="14.45" customHeight="1" x14ac:dyDescent="0.2">
      <c r="B26" s="22"/>
      <c r="C26" s="22"/>
      <c r="D26" s="22"/>
      <c r="E26" s="22"/>
      <c r="F26" s="22"/>
      <c r="G26" s="36"/>
      <c r="H26" s="37"/>
      <c r="I26" s="37"/>
      <c r="J26" s="37"/>
      <c r="K26" s="37"/>
      <c r="L26" s="37"/>
      <c r="M26" s="37"/>
      <c r="N26" s="37"/>
      <c r="O26" s="35"/>
      <c r="P26" s="22"/>
      <c r="Q26" s="22"/>
      <c r="R26" s="22"/>
      <c r="S26" s="22"/>
      <c r="T26" s="22"/>
      <c r="U26" s="22"/>
      <c r="V26" s="22"/>
      <c r="W26" s="22"/>
      <c r="X26" s="22"/>
      <c r="Y26" s="22"/>
      <c r="Z26" s="22"/>
    </row>
    <row r="27" spans="2:26" ht="14.45" customHeight="1" x14ac:dyDescent="0.2">
      <c r="B27" s="22"/>
      <c r="C27" s="22"/>
      <c r="D27" s="22"/>
      <c r="E27" s="22"/>
      <c r="F27" s="22"/>
      <c r="G27" s="36"/>
      <c r="H27" s="37"/>
      <c r="I27" s="45" t="s">
        <v>28</v>
      </c>
      <c r="J27" s="15" t="s">
        <v>29</v>
      </c>
      <c r="K27" s="46" t="s">
        <v>30</v>
      </c>
      <c r="L27" s="46"/>
      <c r="M27" s="15" t="s">
        <v>31</v>
      </c>
      <c r="N27" s="37"/>
      <c r="O27" s="35"/>
      <c r="P27" s="22"/>
      <c r="Q27" s="22"/>
      <c r="R27" s="22"/>
      <c r="S27" s="22"/>
      <c r="T27" s="22"/>
      <c r="U27" s="22"/>
      <c r="V27" s="22"/>
      <c r="W27" s="22"/>
      <c r="X27" s="22"/>
      <c r="Y27" s="22"/>
      <c r="Z27" s="22"/>
    </row>
    <row r="28" spans="2:26" ht="14.45" customHeight="1" x14ac:dyDescent="0.2">
      <c r="B28" s="22"/>
      <c r="C28" s="22"/>
      <c r="D28" s="22"/>
      <c r="E28" s="22"/>
      <c r="F28" s="22"/>
      <c r="G28" s="36"/>
      <c r="H28" s="37"/>
      <c r="I28" s="45"/>
      <c r="J28" s="16">
        <v>0</v>
      </c>
      <c r="K28" s="47">
        <v>30</v>
      </c>
      <c r="L28" s="47"/>
      <c r="M28" s="17" t="s">
        <v>32</v>
      </c>
      <c r="N28" s="37"/>
      <c r="O28" s="35"/>
      <c r="P28" s="22"/>
      <c r="Q28" s="22"/>
      <c r="R28" s="22"/>
      <c r="S28" s="22"/>
      <c r="T28" s="22"/>
      <c r="U28" s="22"/>
      <c r="V28" s="22"/>
      <c r="W28" s="22"/>
      <c r="X28" s="22"/>
      <c r="Y28" s="22"/>
      <c r="Z28" s="22"/>
    </row>
    <row r="29" spans="2:26" ht="14.45" customHeight="1" x14ac:dyDescent="0.2">
      <c r="B29" s="22"/>
      <c r="C29" s="22"/>
      <c r="D29" s="22"/>
      <c r="E29" s="22"/>
      <c r="F29" s="22"/>
      <c r="G29" s="36"/>
      <c r="H29" s="37"/>
      <c r="I29" s="45"/>
      <c r="J29" s="18">
        <v>31</v>
      </c>
      <c r="K29" s="48">
        <v>70</v>
      </c>
      <c r="L29" s="48"/>
      <c r="M29" s="19" t="s">
        <v>33</v>
      </c>
      <c r="N29" s="37"/>
      <c r="O29" s="35"/>
      <c r="P29" s="22"/>
      <c r="Q29" s="22"/>
      <c r="R29" s="22"/>
      <c r="S29" s="22"/>
      <c r="T29" s="22"/>
      <c r="U29" s="22"/>
      <c r="V29" s="22"/>
      <c r="W29" s="22"/>
      <c r="X29" s="22"/>
      <c r="Y29" s="22"/>
      <c r="Z29" s="22"/>
    </row>
    <row r="30" spans="2:26" ht="14.45" customHeight="1" x14ac:dyDescent="0.2">
      <c r="B30" s="22"/>
      <c r="C30" s="22"/>
      <c r="D30" s="22"/>
      <c r="E30" s="22"/>
      <c r="F30" s="22"/>
      <c r="G30" s="36"/>
      <c r="H30" s="37"/>
      <c r="I30" s="45"/>
      <c r="J30" s="20">
        <v>71</v>
      </c>
      <c r="K30" s="49">
        <v>100</v>
      </c>
      <c r="L30" s="49"/>
      <c r="M30" s="21" t="s">
        <v>34</v>
      </c>
      <c r="N30" s="37"/>
      <c r="O30" s="35"/>
      <c r="P30" s="22"/>
      <c r="Q30" s="22"/>
      <c r="R30" s="22"/>
      <c r="S30" s="22"/>
      <c r="T30" s="22"/>
      <c r="U30" s="22"/>
      <c r="V30" s="22"/>
      <c r="W30" s="22"/>
      <c r="X30" s="22"/>
      <c r="Y30" s="22"/>
      <c r="Z30" s="22"/>
    </row>
    <row r="31" spans="2:26" ht="14.45" customHeight="1" x14ac:dyDescent="0.2">
      <c r="B31" s="22"/>
      <c r="C31" s="22"/>
      <c r="D31" s="22"/>
      <c r="E31" s="22"/>
      <c r="F31" s="22"/>
      <c r="G31" s="38"/>
      <c r="H31" s="39"/>
      <c r="I31" s="39"/>
      <c r="J31" s="39"/>
      <c r="K31" s="39"/>
      <c r="L31" s="39"/>
      <c r="M31" s="39"/>
      <c r="N31" s="39"/>
      <c r="O31" s="40"/>
      <c r="P31" s="22"/>
      <c r="Q31" s="22"/>
      <c r="R31" s="22"/>
      <c r="S31" s="22"/>
      <c r="T31" s="22"/>
      <c r="U31" s="22"/>
      <c r="V31" s="22"/>
      <c r="W31" s="22"/>
      <c r="X31" s="22"/>
      <c r="Y31" s="22"/>
      <c r="Z31" s="22"/>
    </row>
    <row r="32" spans="2:26" ht="10.15" customHeight="1" x14ac:dyDescent="0.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sheetData>
  <mergeCells count="10">
    <mergeCell ref="I27:I30"/>
    <mergeCell ref="K27:L27"/>
    <mergeCell ref="K28:L28"/>
    <mergeCell ref="K29:L29"/>
    <mergeCell ref="K30:L30"/>
    <mergeCell ref="C3:Y5"/>
    <mergeCell ref="G7:J8"/>
    <mergeCell ref="L7:O8"/>
    <mergeCell ref="G9:J12"/>
    <mergeCell ref="L9:O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8AB5F-2FF0-4FC0-AA16-AFE9DB894A33}">
  <dimension ref="E9:M17"/>
  <sheetViews>
    <sheetView workbookViewId="0">
      <selection activeCell="E9" sqref="E9:M17"/>
    </sheetView>
  </sheetViews>
  <sheetFormatPr defaultRowHeight="15" x14ac:dyDescent="0.2"/>
  <sheetData>
    <row r="9" spans="5:13" x14ac:dyDescent="0.2">
      <c r="E9" s="50" t="s">
        <v>55</v>
      </c>
      <c r="F9" s="51"/>
      <c r="G9" s="51"/>
      <c r="H9" s="51"/>
      <c r="I9" s="51"/>
      <c r="J9" s="51"/>
      <c r="K9" s="51"/>
      <c r="L9" s="51"/>
      <c r="M9" s="51"/>
    </row>
    <row r="10" spans="5:13" x14ac:dyDescent="0.2">
      <c r="E10" s="51"/>
      <c r="F10" s="51"/>
      <c r="G10" s="51"/>
      <c r="H10" s="51"/>
      <c r="I10" s="51"/>
      <c r="J10" s="51"/>
      <c r="K10" s="51"/>
      <c r="L10" s="51"/>
      <c r="M10" s="51"/>
    </row>
    <row r="11" spans="5:13" x14ac:dyDescent="0.2">
      <c r="E11" s="51"/>
      <c r="F11" s="51"/>
      <c r="G11" s="51"/>
      <c r="H11" s="51"/>
      <c r="I11" s="51"/>
      <c r="J11" s="51"/>
      <c r="K11" s="51"/>
      <c r="L11" s="51"/>
      <c r="M11" s="51"/>
    </row>
    <row r="12" spans="5:13" x14ac:dyDescent="0.2">
      <c r="E12" s="51"/>
      <c r="F12" s="51"/>
      <c r="G12" s="51"/>
      <c r="H12" s="51"/>
      <c r="I12" s="51"/>
      <c r="J12" s="51"/>
      <c r="K12" s="51"/>
      <c r="L12" s="51"/>
      <c r="M12" s="51"/>
    </row>
    <row r="13" spans="5:13" x14ac:dyDescent="0.2">
      <c r="E13" s="51"/>
      <c r="F13" s="51"/>
      <c r="G13" s="51"/>
      <c r="H13" s="51"/>
      <c r="I13" s="51"/>
      <c r="J13" s="51"/>
      <c r="K13" s="51"/>
      <c r="L13" s="51"/>
      <c r="M13" s="51"/>
    </row>
    <row r="14" spans="5:13" x14ac:dyDescent="0.2">
      <c r="E14" s="51"/>
      <c r="F14" s="51"/>
      <c r="G14" s="51"/>
      <c r="H14" s="51"/>
      <c r="I14" s="51"/>
      <c r="J14" s="51"/>
      <c r="K14" s="51"/>
      <c r="L14" s="51"/>
      <c r="M14" s="51"/>
    </row>
    <row r="15" spans="5:13" x14ac:dyDescent="0.2">
      <c r="E15" s="51"/>
      <c r="F15" s="51"/>
      <c r="G15" s="51"/>
      <c r="H15" s="51"/>
      <c r="I15" s="51"/>
      <c r="J15" s="51"/>
      <c r="K15" s="51"/>
      <c r="L15" s="51"/>
      <c r="M15" s="51"/>
    </row>
    <row r="16" spans="5:13" x14ac:dyDescent="0.2">
      <c r="E16" s="51"/>
      <c r="F16" s="51"/>
      <c r="G16" s="51"/>
      <c r="H16" s="51"/>
      <c r="I16" s="51"/>
      <c r="J16" s="51"/>
      <c r="K16" s="51"/>
      <c r="L16" s="51"/>
      <c r="M16" s="51"/>
    </row>
    <row r="17" spans="5:13" x14ac:dyDescent="0.2">
      <c r="E17" s="51"/>
      <c r="F17" s="51"/>
      <c r="G17" s="51"/>
      <c r="H17" s="51"/>
      <c r="I17" s="51"/>
      <c r="J17" s="51"/>
      <c r="K17" s="51"/>
      <c r="L17" s="51"/>
      <c r="M17" s="51"/>
    </row>
  </sheetData>
  <mergeCells count="1">
    <mergeCell ref="E9:M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4A28-DE2D-4987-A939-BBC3395AAD96}">
  <dimension ref="A1:W14"/>
  <sheetViews>
    <sheetView workbookViewId="0">
      <selection activeCell="F29" sqref="F29"/>
    </sheetView>
  </sheetViews>
  <sheetFormatPr defaultColWidth="8.875" defaultRowHeight="15" x14ac:dyDescent="0.2"/>
  <cols>
    <col min="1" max="1" width="13.44921875" style="1" bestFit="1" customWidth="1"/>
    <col min="2" max="3" width="6.3203125" style="1" bestFit="1" customWidth="1"/>
    <col min="4" max="5" width="6.1875" style="1" customWidth="1"/>
    <col min="6" max="6" width="10.0859375" style="1" customWidth="1"/>
    <col min="7" max="7" width="6.1875" style="1" customWidth="1"/>
    <col min="8" max="8" width="7.12890625" style="1" customWidth="1"/>
    <col min="9" max="9" width="7.3984375" style="1" customWidth="1"/>
    <col min="10" max="10" width="6.1875" style="1" customWidth="1"/>
    <col min="11" max="13" width="6.3203125" style="1" bestFit="1" customWidth="1"/>
    <col min="14" max="16" width="6.1875" style="1" customWidth="1"/>
    <col min="17" max="17" width="6.3203125" style="1" bestFit="1" customWidth="1"/>
    <col min="18" max="18" width="8.203125" style="1" customWidth="1"/>
    <col min="19" max="19" width="5.91796875" style="1" customWidth="1"/>
    <col min="20" max="21" width="6.3203125" style="1" bestFit="1" customWidth="1"/>
    <col min="22" max="22" width="6.3203125" style="1" customWidth="1"/>
    <col min="23" max="23" width="6.3203125" style="1" bestFit="1" customWidth="1"/>
    <col min="24" max="16384" width="8.875" style="1"/>
  </cols>
  <sheetData>
    <row r="1" spans="1:23" s="7" customFormat="1" ht="28.9" customHeight="1" x14ac:dyDescent="0.2">
      <c r="A1" s="58" t="s">
        <v>20</v>
      </c>
      <c r="B1" s="57" t="s">
        <v>0</v>
      </c>
      <c r="C1" s="55"/>
      <c r="D1" s="57" t="s">
        <v>1</v>
      </c>
      <c r="E1" s="55"/>
      <c r="F1" s="55" t="s">
        <v>25</v>
      </c>
      <c r="G1" s="56"/>
      <c r="H1" s="52" t="s">
        <v>23</v>
      </c>
      <c r="I1" s="53"/>
      <c r="J1" s="57" t="s">
        <v>24</v>
      </c>
      <c r="K1" s="55"/>
      <c r="L1" s="57" t="s">
        <v>2</v>
      </c>
      <c r="M1" s="55"/>
      <c r="N1" s="57" t="s">
        <v>3</v>
      </c>
      <c r="O1" s="55"/>
      <c r="P1" s="57" t="s">
        <v>4</v>
      </c>
      <c r="Q1" s="55"/>
      <c r="R1" s="52" t="s">
        <v>19</v>
      </c>
      <c r="S1" s="53"/>
      <c r="T1" s="54" t="s">
        <v>5</v>
      </c>
      <c r="U1" s="54"/>
      <c r="V1" s="54" t="s">
        <v>6</v>
      </c>
      <c r="W1" s="54"/>
    </row>
    <row r="2" spans="1:23" x14ac:dyDescent="0.2">
      <c r="A2" s="59"/>
      <c r="B2" s="8" t="s">
        <v>21</v>
      </c>
      <c r="C2" s="8" t="s">
        <v>22</v>
      </c>
      <c r="D2" s="8" t="s">
        <v>21</v>
      </c>
      <c r="E2" s="8" t="s">
        <v>22</v>
      </c>
      <c r="F2" s="8" t="s">
        <v>21</v>
      </c>
      <c r="G2" s="8" t="s">
        <v>22</v>
      </c>
      <c r="H2" s="8" t="s">
        <v>21</v>
      </c>
      <c r="I2" s="8" t="s">
        <v>22</v>
      </c>
      <c r="J2" s="8" t="s">
        <v>21</v>
      </c>
      <c r="K2" s="8" t="s">
        <v>22</v>
      </c>
      <c r="L2" s="8" t="s">
        <v>21</v>
      </c>
      <c r="M2" s="8" t="s">
        <v>22</v>
      </c>
      <c r="N2" s="8" t="s">
        <v>21</v>
      </c>
      <c r="O2" s="8" t="s">
        <v>22</v>
      </c>
      <c r="P2" s="8" t="s">
        <v>21</v>
      </c>
      <c r="Q2" s="8" t="s">
        <v>22</v>
      </c>
      <c r="R2" s="8" t="s">
        <v>21</v>
      </c>
      <c r="S2" s="8" t="s">
        <v>22</v>
      </c>
      <c r="T2" s="8" t="s">
        <v>21</v>
      </c>
      <c r="U2" s="8" t="s">
        <v>22</v>
      </c>
      <c r="V2" s="8" t="s">
        <v>21</v>
      </c>
      <c r="W2" s="8" t="s">
        <v>22</v>
      </c>
    </row>
    <row r="3" spans="1:23" x14ac:dyDescent="0.2">
      <c r="A3" s="5" t="s">
        <v>7</v>
      </c>
      <c r="B3" s="2">
        <v>0</v>
      </c>
      <c r="C3" s="2">
        <f ca="1">RANDBETWEEN(0,1)</f>
        <v>0</v>
      </c>
      <c r="D3" s="2">
        <v>0</v>
      </c>
      <c r="E3" s="2">
        <f ca="1">RANDBETWEEN(0,1)</f>
        <v>0</v>
      </c>
      <c r="F3" s="2">
        <v>0</v>
      </c>
      <c r="G3" s="2">
        <f ca="1">RANDBETWEEN(0,1)</f>
        <v>0</v>
      </c>
      <c r="H3" s="2">
        <v>0</v>
      </c>
      <c r="I3" s="2">
        <f ca="1">RANDBETWEEN(0,1)</f>
        <v>0</v>
      </c>
      <c r="J3" s="2">
        <v>10</v>
      </c>
      <c r="K3" s="2">
        <f ca="1">RANDBETWEEN(8,10)</f>
        <v>8</v>
      </c>
      <c r="L3" s="2">
        <v>10</v>
      </c>
      <c r="M3" s="2">
        <f ca="1">RANDBETWEEN(8,10)</f>
        <v>9</v>
      </c>
      <c r="N3" s="2">
        <v>1</v>
      </c>
      <c r="O3" s="2">
        <f ca="1">RANDBETWEEN(0,1)</f>
        <v>0</v>
      </c>
      <c r="P3" s="2">
        <v>2</v>
      </c>
      <c r="Q3" s="2">
        <f ca="1">RANDBETWEEN(1,2)</f>
        <v>1</v>
      </c>
      <c r="R3" s="2">
        <v>1</v>
      </c>
      <c r="S3" s="2">
        <f ca="1">RANDBETWEEN(0,1)</f>
        <v>1</v>
      </c>
      <c r="T3" s="2">
        <v>100</v>
      </c>
      <c r="U3" s="2">
        <f ca="1">RANDBETWEEN(50, 100)</f>
        <v>99</v>
      </c>
      <c r="V3" s="2">
        <v>100</v>
      </c>
      <c r="W3" s="2">
        <f ca="1">RANDBETWEEN(50, 100)</f>
        <v>60</v>
      </c>
    </row>
    <row r="4" spans="1:23" x14ac:dyDescent="0.2">
      <c r="A4" s="5" t="s">
        <v>8</v>
      </c>
      <c r="B4" s="2">
        <v>0</v>
      </c>
      <c r="C4" s="2">
        <f t="shared" ref="C4:I14" ca="1" si="0">RANDBETWEEN(0,1)</f>
        <v>0</v>
      </c>
      <c r="D4" s="2">
        <v>0</v>
      </c>
      <c r="E4" s="2">
        <f t="shared" ca="1" si="0"/>
        <v>0</v>
      </c>
      <c r="F4" s="2">
        <v>0</v>
      </c>
      <c r="G4" s="2">
        <f t="shared" ca="1" si="0"/>
        <v>1</v>
      </c>
      <c r="H4" s="2">
        <v>0</v>
      </c>
      <c r="I4" s="2">
        <f t="shared" ca="1" si="0"/>
        <v>1</v>
      </c>
      <c r="J4" s="2">
        <v>10</v>
      </c>
      <c r="K4" s="2">
        <f t="shared" ref="K4:M14" ca="1" si="1">RANDBETWEEN(8,10)</f>
        <v>9</v>
      </c>
      <c r="L4" s="2">
        <v>10</v>
      </c>
      <c r="M4" s="2">
        <f t="shared" ca="1" si="1"/>
        <v>8</v>
      </c>
      <c r="N4" s="2">
        <v>1</v>
      </c>
      <c r="O4" s="2">
        <f t="shared" ref="O4:O14" ca="1" si="2">RANDBETWEEN(0,1)</f>
        <v>0</v>
      </c>
      <c r="P4" s="2">
        <v>2</v>
      </c>
      <c r="Q4" s="2">
        <f t="shared" ref="Q4:Q14" ca="1" si="3">RANDBETWEEN(1,2)</f>
        <v>2</v>
      </c>
      <c r="R4" s="2">
        <v>1</v>
      </c>
      <c r="S4" s="2">
        <f t="shared" ref="S4:S14" ca="1" si="4">RANDBETWEEN(0,1)</f>
        <v>0</v>
      </c>
      <c r="T4" s="2">
        <v>100</v>
      </c>
      <c r="U4" s="2">
        <f t="shared" ref="U4:W14" ca="1" si="5">RANDBETWEEN(50, 100)</f>
        <v>64</v>
      </c>
      <c r="V4" s="2">
        <v>100</v>
      </c>
      <c r="W4" s="2">
        <f t="shared" ca="1" si="5"/>
        <v>95</v>
      </c>
    </row>
    <row r="5" spans="1:23" x14ac:dyDescent="0.2">
      <c r="A5" s="5" t="s">
        <v>9</v>
      </c>
      <c r="B5" s="2">
        <v>0</v>
      </c>
      <c r="C5" s="2">
        <f t="shared" ca="1" si="0"/>
        <v>0</v>
      </c>
      <c r="D5" s="2">
        <v>0</v>
      </c>
      <c r="E5" s="2">
        <f t="shared" ca="1" si="0"/>
        <v>1</v>
      </c>
      <c r="F5" s="2">
        <v>0</v>
      </c>
      <c r="G5" s="2">
        <f t="shared" ca="1" si="0"/>
        <v>0</v>
      </c>
      <c r="H5" s="2">
        <v>0</v>
      </c>
      <c r="I5" s="2">
        <f t="shared" ca="1" si="0"/>
        <v>0</v>
      </c>
      <c r="J5" s="2">
        <v>10</v>
      </c>
      <c r="K5" s="2">
        <f t="shared" ca="1" si="1"/>
        <v>10</v>
      </c>
      <c r="L5" s="2">
        <v>10</v>
      </c>
      <c r="M5" s="2">
        <f t="shared" ca="1" si="1"/>
        <v>10</v>
      </c>
      <c r="N5" s="2">
        <v>1</v>
      </c>
      <c r="O5" s="2">
        <f t="shared" ca="1" si="2"/>
        <v>1</v>
      </c>
      <c r="P5" s="2">
        <v>2</v>
      </c>
      <c r="Q5" s="2">
        <f t="shared" ca="1" si="3"/>
        <v>2</v>
      </c>
      <c r="R5" s="2">
        <v>1</v>
      </c>
      <c r="S5" s="2">
        <f t="shared" ca="1" si="4"/>
        <v>0</v>
      </c>
      <c r="T5" s="2">
        <v>100</v>
      </c>
      <c r="U5" s="2">
        <f t="shared" ca="1" si="5"/>
        <v>65</v>
      </c>
      <c r="V5" s="2">
        <v>100</v>
      </c>
      <c r="W5" s="2">
        <f t="shared" ca="1" si="5"/>
        <v>60</v>
      </c>
    </row>
    <row r="6" spans="1:23" x14ac:dyDescent="0.2">
      <c r="A6" s="5" t="s">
        <v>10</v>
      </c>
      <c r="B6" s="2">
        <v>0</v>
      </c>
      <c r="C6" s="2">
        <f t="shared" ca="1" si="0"/>
        <v>1</v>
      </c>
      <c r="D6" s="2">
        <v>0</v>
      </c>
      <c r="E6" s="2">
        <f t="shared" ca="1" si="0"/>
        <v>1</v>
      </c>
      <c r="F6" s="2">
        <v>0</v>
      </c>
      <c r="G6" s="2">
        <f t="shared" ca="1" si="0"/>
        <v>1</v>
      </c>
      <c r="H6" s="2">
        <v>0</v>
      </c>
      <c r="I6" s="2">
        <f t="shared" ca="1" si="0"/>
        <v>1</v>
      </c>
      <c r="J6" s="2">
        <v>10</v>
      </c>
      <c r="K6" s="2">
        <f t="shared" ca="1" si="1"/>
        <v>9</v>
      </c>
      <c r="L6" s="2">
        <v>10</v>
      </c>
      <c r="M6" s="2">
        <f t="shared" ca="1" si="1"/>
        <v>8</v>
      </c>
      <c r="N6" s="2">
        <v>1</v>
      </c>
      <c r="O6" s="2">
        <f t="shared" ca="1" si="2"/>
        <v>1</v>
      </c>
      <c r="P6" s="2">
        <v>2</v>
      </c>
      <c r="Q6" s="2">
        <f t="shared" ca="1" si="3"/>
        <v>1</v>
      </c>
      <c r="R6" s="2">
        <v>1</v>
      </c>
      <c r="S6" s="2">
        <f t="shared" ca="1" si="4"/>
        <v>0</v>
      </c>
      <c r="T6" s="2">
        <v>100</v>
      </c>
      <c r="U6" s="2">
        <f t="shared" ca="1" si="5"/>
        <v>55</v>
      </c>
      <c r="V6" s="2">
        <v>100</v>
      </c>
      <c r="W6" s="2">
        <f t="shared" ca="1" si="5"/>
        <v>53</v>
      </c>
    </row>
    <row r="7" spans="1:23" x14ac:dyDescent="0.2">
      <c r="A7" s="5" t="s">
        <v>11</v>
      </c>
      <c r="B7" s="2">
        <v>0</v>
      </c>
      <c r="C7" s="2">
        <f t="shared" ca="1" si="0"/>
        <v>0</v>
      </c>
      <c r="D7" s="2">
        <v>0</v>
      </c>
      <c r="E7" s="2">
        <f t="shared" ca="1" si="0"/>
        <v>1</v>
      </c>
      <c r="F7" s="2">
        <v>0</v>
      </c>
      <c r="G7" s="2">
        <f t="shared" ca="1" si="0"/>
        <v>1</v>
      </c>
      <c r="H7" s="2">
        <v>0</v>
      </c>
      <c r="I7" s="2">
        <f t="shared" ca="1" si="0"/>
        <v>0</v>
      </c>
      <c r="J7" s="2">
        <v>10</v>
      </c>
      <c r="K7" s="2">
        <f t="shared" ca="1" si="1"/>
        <v>8</v>
      </c>
      <c r="L7" s="2">
        <v>10</v>
      </c>
      <c r="M7" s="2">
        <f t="shared" ca="1" si="1"/>
        <v>10</v>
      </c>
      <c r="N7" s="2">
        <v>1</v>
      </c>
      <c r="O7" s="2">
        <f t="shared" ca="1" si="2"/>
        <v>0</v>
      </c>
      <c r="P7" s="2">
        <v>2</v>
      </c>
      <c r="Q7" s="2">
        <f t="shared" ca="1" si="3"/>
        <v>2</v>
      </c>
      <c r="R7" s="2">
        <v>1</v>
      </c>
      <c r="S7" s="2">
        <f t="shared" ca="1" si="4"/>
        <v>0</v>
      </c>
      <c r="T7" s="2">
        <v>100</v>
      </c>
      <c r="U7" s="2">
        <f t="shared" ca="1" si="5"/>
        <v>97</v>
      </c>
      <c r="V7" s="2">
        <v>100</v>
      </c>
      <c r="W7" s="2">
        <f t="shared" ca="1" si="5"/>
        <v>68</v>
      </c>
    </row>
    <row r="8" spans="1:23" x14ac:dyDescent="0.2">
      <c r="A8" s="5" t="s">
        <v>12</v>
      </c>
      <c r="B8" s="2">
        <v>0</v>
      </c>
      <c r="C8" s="2">
        <f t="shared" ca="1" si="0"/>
        <v>0</v>
      </c>
      <c r="D8" s="2">
        <v>0</v>
      </c>
      <c r="E8" s="2">
        <f t="shared" ca="1" si="0"/>
        <v>0</v>
      </c>
      <c r="F8" s="2">
        <v>0</v>
      </c>
      <c r="G8" s="2">
        <f t="shared" ca="1" si="0"/>
        <v>1</v>
      </c>
      <c r="H8" s="2">
        <v>0</v>
      </c>
      <c r="I8" s="2">
        <f t="shared" ca="1" si="0"/>
        <v>0</v>
      </c>
      <c r="J8" s="2">
        <v>10</v>
      </c>
      <c r="K8" s="2">
        <f t="shared" ca="1" si="1"/>
        <v>10</v>
      </c>
      <c r="L8" s="2">
        <v>10</v>
      </c>
      <c r="M8" s="2">
        <f t="shared" ca="1" si="1"/>
        <v>10</v>
      </c>
      <c r="N8" s="2">
        <v>1</v>
      </c>
      <c r="O8" s="2">
        <f t="shared" ca="1" si="2"/>
        <v>0</v>
      </c>
      <c r="P8" s="2">
        <v>2</v>
      </c>
      <c r="Q8" s="2">
        <f t="shared" ca="1" si="3"/>
        <v>1</v>
      </c>
      <c r="R8" s="2">
        <v>1</v>
      </c>
      <c r="S8" s="2">
        <f t="shared" ca="1" si="4"/>
        <v>1</v>
      </c>
      <c r="T8" s="2">
        <v>100</v>
      </c>
      <c r="U8" s="2">
        <f t="shared" ca="1" si="5"/>
        <v>62</v>
      </c>
      <c r="V8" s="2">
        <v>100</v>
      </c>
      <c r="W8" s="2">
        <f t="shared" ca="1" si="5"/>
        <v>53</v>
      </c>
    </row>
    <row r="9" spans="1:23" x14ac:dyDescent="0.2">
      <c r="A9" s="5" t="s">
        <v>13</v>
      </c>
      <c r="B9" s="2">
        <v>0</v>
      </c>
      <c r="C9" s="2">
        <f t="shared" ca="1" si="0"/>
        <v>1</v>
      </c>
      <c r="D9" s="2">
        <v>0</v>
      </c>
      <c r="E9" s="2">
        <f t="shared" ca="1" si="0"/>
        <v>1</v>
      </c>
      <c r="F9" s="2">
        <v>0</v>
      </c>
      <c r="G9" s="2">
        <f t="shared" ca="1" si="0"/>
        <v>1</v>
      </c>
      <c r="H9" s="2">
        <v>0</v>
      </c>
      <c r="I9" s="2">
        <f t="shared" ca="1" si="0"/>
        <v>1</v>
      </c>
      <c r="J9" s="2">
        <v>10</v>
      </c>
      <c r="K9" s="2">
        <f t="shared" ca="1" si="1"/>
        <v>10</v>
      </c>
      <c r="L9" s="2">
        <v>10</v>
      </c>
      <c r="M9" s="2">
        <f t="shared" ca="1" si="1"/>
        <v>9</v>
      </c>
      <c r="N9" s="2">
        <v>1</v>
      </c>
      <c r="O9" s="2">
        <f t="shared" ca="1" si="2"/>
        <v>0</v>
      </c>
      <c r="P9" s="2">
        <v>2</v>
      </c>
      <c r="Q9" s="2">
        <f t="shared" ca="1" si="3"/>
        <v>2</v>
      </c>
      <c r="R9" s="2">
        <v>1</v>
      </c>
      <c r="S9" s="2">
        <f t="shared" ca="1" si="4"/>
        <v>0</v>
      </c>
      <c r="T9" s="2">
        <v>100</v>
      </c>
      <c r="U9" s="2">
        <f t="shared" ca="1" si="5"/>
        <v>63</v>
      </c>
      <c r="V9" s="2">
        <v>100</v>
      </c>
      <c r="W9" s="2">
        <f t="shared" ca="1" si="5"/>
        <v>71</v>
      </c>
    </row>
    <row r="10" spans="1:23" x14ac:dyDescent="0.2">
      <c r="A10" s="5" t="s">
        <v>14</v>
      </c>
      <c r="B10" s="2">
        <v>0</v>
      </c>
      <c r="C10" s="2">
        <f t="shared" ca="1" si="0"/>
        <v>1</v>
      </c>
      <c r="D10" s="2">
        <v>0</v>
      </c>
      <c r="E10" s="2">
        <f t="shared" ca="1" si="0"/>
        <v>1</v>
      </c>
      <c r="F10" s="2">
        <v>0</v>
      </c>
      <c r="G10" s="2">
        <f t="shared" ca="1" si="0"/>
        <v>0</v>
      </c>
      <c r="H10" s="2">
        <v>0</v>
      </c>
      <c r="I10" s="2">
        <f t="shared" ca="1" si="0"/>
        <v>0</v>
      </c>
      <c r="J10" s="2">
        <v>10</v>
      </c>
      <c r="K10" s="2">
        <f t="shared" ca="1" si="1"/>
        <v>9</v>
      </c>
      <c r="L10" s="2">
        <v>10</v>
      </c>
      <c r="M10" s="2">
        <f t="shared" ca="1" si="1"/>
        <v>9</v>
      </c>
      <c r="N10" s="2">
        <v>1</v>
      </c>
      <c r="O10" s="2">
        <f t="shared" ca="1" si="2"/>
        <v>1</v>
      </c>
      <c r="P10" s="2">
        <v>2</v>
      </c>
      <c r="Q10" s="2">
        <f t="shared" ca="1" si="3"/>
        <v>1</v>
      </c>
      <c r="R10" s="2">
        <v>1</v>
      </c>
      <c r="S10" s="2">
        <f t="shared" ca="1" si="4"/>
        <v>0</v>
      </c>
      <c r="T10" s="2">
        <v>100</v>
      </c>
      <c r="U10" s="2">
        <f t="shared" ca="1" si="5"/>
        <v>73</v>
      </c>
      <c r="V10" s="2">
        <v>100</v>
      </c>
      <c r="W10" s="2">
        <f t="shared" ca="1" si="5"/>
        <v>52</v>
      </c>
    </row>
    <row r="11" spans="1:23" x14ac:dyDescent="0.2">
      <c r="A11" s="5" t="s">
        <v>15</v>
      </c>
      <c r="B11" s="2">
        <v>0</v>
      </c>
      <c r="C11" s="2">
        <f t="shared" ca="1" si="0"/>
        <v>0</v>
      </c>
      <c r="D11" s="2">
        <v>0</v>
      </c>
      <c r="E11" s="2">
        <f t="shared" ca="1" si="0"/>
        <v>0</v>
      </c>
      <c r="F11" s="2">
        <v>0</v>
      </c>
      <c r="G11" s="2">
        <f t="shared" ca="1" si="0"/>
        <v>0</v>
      </c>
      <c r="H11" s="2">
        <v>0</v>
      </c>
      <c r="I11" s="2">
        <f t="shared" ca="1" si="0"/>
        <v>1</v>
      </c>
      <c r="J11" s="2">
        <v>10</v>
      </c>
      <c r="K11" s="2">
        <f t="shared" ca="1" si="1"/>
        <v>10</v>
      </c>
      <c r="L11" s="2">
        <v>10</v>
      </c>
      <c r="M11" s="2">
        <f t="shared" ca="1" si="1"/>
        <v>8</v>
      </c>
      <c r="N11" s="2">
        <v>1</v>
      </c>
      <c r="O11" s="2">
        <f t="shared" ca="1" si="2"/>
        <v>0</v>
      </c>
      <c r="P11" s="2">
        <v>2</v>
      </c>
      <c r="Q11" s="2">
        <f t="shared" ca="1" si="3"/>
        <v>1</v>
      </c>
      <c r="R11" s="2">
        <v>1</v>
      </c>
      <c r="S11" s="2">
        <f t="shared" ca="1" si="4"/>
        <v>0</v>
      </c>
      <c r="T11" s="2">
        <v>100</v>
      </c>
      <c r="U11" s="2">
        <f t="shared" ca="1" si="5"/>
        <v>64</v>
      </c>
      <c r="V11" s="2">
        <v>100</v>
      </c>
      <c r="W11" s="2">
        <f t="shared" ca="1" si="5"/>
        <v>61</v>
      </c>
    </row>
    <row r="12" spans="1:23" x14ac:dyDescent="0.2">
      <c r="A12" s="5" t="s">
        <v>16</v>
      </c>
      <c r="B12" s="2">
        <v>0</v>
      </c>
      <c r="C12" s="2">
        <f t="shared" ca="1" si="0"/>
        <v>0</v>
      </c>
      <c r="D12" s="2">
        <v>0</v>
      </c>
      <c r="E12" s="2">
        <f t="shared" ca="1" si="0"/>
        <v>1</v>
      </c>
      <c r="F12" s="2">
        <v>0</v>
      </c>
      <c r="G12" s="2">
        <f t="shared" ca="1" si="0"/>
        <v>0</v>
      </c>
      <c r="H12" s="2">
        <v>0</v>
      </c>
      <c r="I12" s="2">
        <f t="shared" ca="1" si="0"/>
        <v>0</v>
      </c>
      <c r="J12" s="2">
        <v>10</v>
      </c>
      <c r="K12" s="2">
        <f t="shared" ca="1" si="1"/>
        <v>9</v>
      </c>
      <c r="L12" s="2">
        <v>10</v>
      </c>
      <c r="M12" s="2">
        <f t="shared" ca="1" si="1"/>
        <v>9</v>
      </c>
      <c r="N12" s="2">
        <v>1</v>
      </c>
      <c r="O12" s="2">
        <f t="shared" ca="1" si="2"/>
        <v>1</v>
      </c>
      <c r="P12" s="2">
        <v>2</v>
      </c>
      <c r="Q12" s="2">
        <f t="shared" ca="1" si="3"/>
        <v>2</v>
      </c>
      <c r="R12" s="2">
        <v>1</v>
      </c>
      <c r="S12" s="2">
        <f t="shared" ca="1" si="4"/>
        <v>1</v>
      </c>
      <c r="T12" s="2">
        <v>100</v>
      </c>
      <c r="U12" s="2">
        <f t="shared" ca="1" si="5"/>
        <v>53</v>
      </c>
      <c r="V12" s="2">
        <v>100</v>
      </c>
      <c r="W12" s="2">
        <f t="shared" ca="1" si="5"/>
        <v>98</v>
      </c>
    </row>
    <row r="13" spans="1:23" x14ac:dyDescent="0.2">
      <c r="A13" s="5" t="s">
        <v>17</v>
      </c>
      <c r="B13" s="2">
        <v>0</v>
      </c>
      <c r="C13" s="2">
        <f t="shared" ca="1" si="0"/>
        <v>1</v>
      </c>
      <c r="D13" s="2">
        <v>0</v>
      </c>
      <c r="E13" s="2">
        <f t="shared" ca="1" si="0"/>
        <v>0</v>
      </c>
      <c r="F13" s="2">
        <v>0</v>
      </c>
      <c r="G13" s="2">
        <f t="shared" ca="1" si="0"/>
        <v>0</v>
      </c>
      <c r="H13" s="2">
        <v>0</v>
      </c>
      <c r="I13" s="2">
        <f t="shared" ca="1" si="0"/>
        <v>1</v>
      </c>
      <c r="J13" s="2">
        <v>10</v>
      </c>
      <c r="K13" s="2">
        <f t="shared" ca="1" si="1"/>
        <v>8</v>
      </c>
      <c r="L13" s="2">
        <v>10</v>
      </c>
      <c r="M13" s="2">
        <f t="shared" ca="1" si="1"/>
        <v>9</v>
      </c>
      <c r="N13" s="2">
        <v>1</v>
      </c>
      <c r="O13" s="2">
        <f t="shared" ca="1" si="2"/>
        <v>0</v>
      </c>
      <c r="P13" s="2">
        <v>2</v>
      </c>
      <c r="Q13" s="2">
        <f t="shared" ca="1" si="3"/>
        <v>1</v>
      </c>
      <c r="R13" s="2">
        <v>1</v>
      </c>
      <c r="S13" s="2">
        <f t="shared" ca="1" si="4"/>
        <v>0</v>
      </c>
      <c r="T13" s="2">
        <v>100</v>
      </c>
      <c r="U13" s="2">
        <f t="shared" ca="1" si="5"/>
        <v>74</v>
      </c>
      <c r="V13" s="2">
        <v>100</v>
      </c>
      <c r="W13" s="2">
        <f t="shared" ca="1" si="5"/>
        <v>88</v>
      </c>
    </row>
    <row r="14" spans="1:23" x14ac:dyDescent="0.2">
      <c r="A14" s="5" t="s">
        <v>18</v>
      </c>
      <c r="B14" s="2">
        <v>0</v>
      </c>
      <c r="C14" s="2">
        <f t="shared" ca="1" si="0"/>
        <v>1</v>
      </c>
      <c r="D14" s="2">
        <v>0</v>
      </c>
      <c r="E14" s="2">
        <f t="shared" ca="1" si="0"/>
        <v>1</v>
      </c>
      <c r="F14" s="2">
        <v>0</v>
      </c>
      <c r="G14" s="2">
        <f t="shared" ca="1" si="0"/>
        <v>0</v>
      </c>
      <c r="H14" s="2">
        <v>0</v>
      </c>
      <c r="I14" s="2">
        <f t="shared" ca="1" si="0"/>
        <v>0</v>
      </c>
      <c r="J14" s="2">
        <v>10</v>
      </c>
      <c r="K14" s="2">
        <f t="shared" ca="1" si="1"/>
        <v>10</v>
      </c>
      <c r="L14" s="2">
        <v>10</v>
      </c>
      <c r="M14" s="2">
        <f t="shared" ca="1" si="1"/>
        <v>8</v>
      </c>
      <c r="N14" s="2">
        <v>1</v>
      </c>
      <c r="O14" s="2">
        <f t="shared" ca="1" si="2"/>
        <v>1</v>
      </c>
      <c r="P14" s="2">
        <v>2</v>
      </c>
      <c r="Q14" s="2">
        <f t="shared" ca="1" si="3"/>
        <v>1</v>
      </c>
      <c r="R14" s="2">
        <v>1</v>
      </c>
      <c r="S14" s="2">
        <f t="shared" ca="1" si="4"/>
        <v>0</v>
      </c>
      <c r="T14" s="2">
        <v>100</v>
      </c>
      <c r="U14" s="2">
        <f t="shared" ca="1" si="5"/>
        <v>84</v>
      </c>
      <c r="V14" s="2">
        <v>100</v>
      </c>
      <c r="W14" s="2">
        <f t="shared" ca="1" si="5"/>
        <v>90</v>
      </c>
    </row>
  </sheetData>
  <mergeCells count="12">
    <mergeCell ref="A1:A2"/>
    <mergeCell ref="B1:C1"/>
    <mergeCell ref="D1:E1"/>
    <mergeCell ref="J1:K1"/>
    <mergeCell ref="L1:M1"/>
    <mergeCell ref="R1:S1"/>
    <mergeCell ref="H1:I1"/>
    <mergeCell ref="T1:U1"/>
    <mergeCell ref="V1:W1"/>
    <mergeCell ref="F1:G1"/>
    <mergeCell ref="N1:O1"/>
    <mergeCell ref="P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9D8A-5C8D-4D93-BA2D-336F8B80AC9B}">
  <dimension ref="B3:F10"/>
  <sheetViews>
    <sheetView workbookViewId="0">
      <selection activeCell="B11" sqref="B11"/>
    </sheetView>
  </sheetViews>
  <sheetFormatPr defaultRowHeight="15" x14ac:dyDescent="0.2"/>
  <sheetData>
    <row r="3" spans="2:6" x14ac:dyDescent="0.2">
      <c r="B3" s="12" t="s">
        <v>32</v>
      </c>
      <c r="C3" s="13" t="s">
        <v>33</v>
      </c>
      <c r="D3" s="14" t="s">
        <v>34</v>
      </c>
      <c r="E3" s="1"/>
      <c r="F3" s="2" t="s">
        <v>41</v>
      </c>
    </row>
    <row r="4" spans="2:6" x14ac:dyDescent="0.2">
      <c r="B4" s="2">
        <v>30</v>
      </c>
      <c r="C4" s="2">
        <v>70</v>
      </c>
      <c r="D4" s="2">
        <v>100</v>
      </c>
      <c r="E4" s="1"/>
      <c r="F4" s="2">
        <v>80</v>
      </c>
    </row>
    <row r="5" spans="2:6" x14ac:dyDescent="0.2">
      <c r="B5" s="1"/>
      <c r="C5" s="1"/>
      <c r="D5" s="1"/>
      <c r="E5" s="1"/>
      <c r="F5" s="1"/>
    </row>
    <row r="6" spans="2:6" x14ac:dyDescent="0.2">
      <c r="B6" s="60" t="s">
        <v>42</v>
      </c>
      <c r="C6" s="61"/>
      <c r="D6" s="61"/>
      <c r="E6" s="62"/>
      <c r="F6" s="1"/>
    </row>
    <row r="7" spans="2:6" x14ac:dyDescent="0.2">
      <c r="B7" s="2">
        <v>20</v>
      </c>
      <c r="C7" s="2">
        <v>50</v>
      </c>
      <c r="D7" s="2">
        <v>30</v>
      </c>
      <c r="E7" s="2">
        <f>SUM(B7:D7)</f>
        <v>100</v>
      </c>
      <c r="F7" s="1"/>
    </row>
    <row r="8" spans="2:6" x14ac:dyDescent="0.2">
      <c r="B8" s="1"/>
      <c r="C8" s="1"/>
      <c r="D8" s="1"/>
      <c r="E8" s="1"/>
      <c r="F8" s="1"/>
    </row>
    <row r="9" spans="2:6" x14ac:dyDescent="0.2">
      <c r="B9" s="60" t="s">
        <v>43</v>
      </c>
      <c r="C9" s="61"/>
      <c r="D9" s="61"/>
      <c r="E9" s="62"/>
      <c r="F9" s="1"/>
    </row>
    <row r="10" spans="2:6" x14ac:dyDescent="0.2">
      <c r="B10" s="2">
        <f>Analysis!B15</f>
        <v>40.1</v>
      </c>
      <c r="C10" s="2">
        <v>-2</v>
      </c>
      <c r="D10" s="2">
        <f>E7*2-C10-B10</f>
        <v>161.9</v>
      </c>
      <c r="E10" s="2"/>
      <c r="F10" s="1"/>
    </row>
  </sheetData>
  <mergeCells count="2">
    <mergeCell ref="B6:E6"/>
    <mergeCell ref="B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6</vt:i4>
      </vt:variant>
    </vt:vector>
  </HeadingPairs>
  <TitlesOfParts>
    <vt:vector size="6" baseType="lpstr">
      <vt:lpstr>Analysis</vt:lpstr>
      <vt:lpstr>Don't Edit</vt:lpstr>
      <vt:lpstr>Dashboard</vt:lpstr>
      <vt:lpstr>Instruction</vt:lpstr>
      <vt:lpstr>Data</vt:lpstr>
      <vt:lpstr>Meter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Chandrakant S</cp:lastModifiedBy>
  <dcterms:created xsi:type="dcterms:W3CDTF">2015-06-05T18:17:20Z</dcterms:created>
  <dcterms:modified xsi:type="dcterms:W3CDTF">2025-06-13T17:34:18Z</dcterms:modified>
</cp:coreProperties>
</file>